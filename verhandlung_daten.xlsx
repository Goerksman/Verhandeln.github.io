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rkan\Desktop\Uni\5. Semester\Projektarbeit Rieck\Online-Website\"/>
    </mc:Choice>
  </mc:AlternateContent>
  <xr:revisionPtr revIDLastSave="0" documentId="13_ncr:1_{764AEE7E-5AE1-48ED-8E08-C635AE6FAF60}" xr6:coauthVersionLast="47" xr6:coauthVersionMax="47" xr10:uidLastSave="{00000000-0000-0000-0000-000000000000}"/>
  <bookViews>
    <workbookView xWindow="-28920" yWindow="-120" windowWidth="29040" windowHeight="15720" activeTab="6" xr2:uid="{00000000-000D-0000-FFFF-FFFF00000000}"/>
  </bookViews>
  <sheets>
    <sheet name="Daten" sheetId="1" r:id="rId1"/>
    <sheet name="2025-11-01" sheetId="2" r:id="rId2"/>
    <sheet name="2025-11-02" sheetId="3" r:id="rId3"/>
    <sheet name="2025-11-03" sheetId="4" r:id="rId4"/>
    <sheet name="2025-11-04" sheetId="5" r:id="rId5"/>
    <sheet name="2025-11-05" sheetId="6" r:id="rId6"/>
    <sheet name="2025-11-08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4" l="1" a="1"/>
  <c r="H3" i="4" s="1"/>
  <c r="H4" i="4" a="1"/>
  <c r="H4" i="4" s="1"/>
  <c r="H5" i="4" a="1"/>
  <c r="H5" i="4" s="1"/>
  <c r="H2" i="4" a="1"/>
  <c r="H2" i="4" s="1"/>
  <c r="H3" i="5" a="1"/>
  <c r="H3" i="5" s="1"/>
  <c r="H4" i="5" a="1"/>
  <c r="H4" i="5" s="1"/>
  <c r="H5" i="5" a="1"/>
  <c r="H5" i="5" s="1"/>
  <c r="H6" i="5" a="1"/>
  <c r="H6" i="5" s="1"/>
  <c r="H7" i="5" a="1"/>
  <c r="H7" i="5" s="1"/>
  <c r="H8" i="5" a="1"/>
  <c r="H8" i="5" s="1"/>
  <c r="H9" i="5" a="1"/>
  <c r="H9" i="5" s="1"/>
  <c r="H10" i="5" a="1"/>
  <c r="H10" i="5" s="1"/>
  <c r="H11" i="5" a="1"/>
  <c r="H11" i="5" s="1"/>
  <c r="H12" i="5" a="1"/>
  <c r="H12" i="5" s="1"/>
  <c r="H2" i="5" a="1"/>
  <c r="H2" i="5" s="1"/>
  <c r="H3" i="7" a="1"/>
  <c r="H3" i="7" s="1"/>
  <c r="H4" i="7" a="1"/>
  <c r="H4" i="7" s="1"/>
  <c r="H2" i="7" a="1"/>
  <c r="H2" i="7" s="1"/>
  <c r="H2" i="2" s="1" a="1"/>
  <c r="H2" i="2" s="1"/>
  <c r="H3" i="3" a="1"/>
  <c r="H3" i="3" s="1"/>
  <c r="H2" i="3" a="1"/>
  <c r="H2" i="3" s="1"/>
  <c r="H4" i="2" a="1"/>
  <c r="H4" i="2" s="1"/>
  <c r="H3" i="2" a="1"/>
  <c r="H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<sst xmlns="http://schemas.openxmlformats.org/spreadsheetml/2006/main" count="344" uniqueCount="181">
  <si>
    <t>timestamp_iso</t>
  </si>
  <si>
    <t>participant_id</t>
  </si>
  <si>
    <t>runde</t>
  </si>
  <si>
    <t>algo_offer</t>
  </si>
  <si>
    <t>proband_counter</t>
  </si>
  <si>
    <t>accepted</t>
  </si>
  <si>
    <t>finished</t>
  </si>
  <si>
    <t>2025-11-01T12:05:47Z</t>
  </si>
  <si>
    <t>93fbbf02-d997-4c90-9103-557c7ffc1d69</t>
  </si>
  <si>
    <t>2025-11-01T12:05:56Z</t>
  </si>
  <si>
    <t>2025-11-01T12:06:05Z</t>
  </si>
  <si>
    <t>2025-11-01T12:06:11Z</t>
  </si>
  <si>
    <t>2025-11-01T12:06:19Z</t>
  </si>
  <si>
    <t>2025-11-01T12:08:31Z</t>
  </si>
  <si>
    <t>ab9c5471-9710-4206-8f0b-45df525003f0</t>
  </si>
  <si>
    <t>2025-11-01T12:08:36Z</t>
  </si>
  <si>
    <t>2025-11-01T12:08:42Z</t>
  </si>
  <si>
    <t>2025-11-01T12:08:52Z</t>
  </si>
  <si>
    <t>2025-11-01T12:09:05Z</t>
  </si>
  <si>
    <t>2025-11-01T12:09:18Z</t>
  </si>
  <si>
    <t>2025-11-01T14:05:25Z</t>
  </si>
  <si>
    <t>8eb8f2ba-5e67-49dc-a066-7416a0ffb033</t>
  </si>
  <si>
    <t>2025-11-01T14:05:29Z</t>
  </si>
  <si>
    <t>2025-11-01T14:05:34Z</t>
  </si>
  <si>
    <t>2025-11-01T14:05:42Z</t>
  </si>
  <si>
    <t>2025-11-01T14:05:47Z</t>
  </si>
  <si>
    <t>2025-11-01T14:05:53Z</t>
  </si>
  <si>
    <t>2025-11-01T14:06:05Z</t>
  </si>
  <si>
    <t>bf0416b6-d84c-4e53-9b9e-c4772ea4cee2</t>
  </si>
  <si>
    <t>2025-11-01T14:06:09Z</t>
  </si>
  <si>
    <t>2025-11-01T14:06:13Z</t>
  </si>
  <si>
    <t>2025-11-01T14:06:17Z</t>
  </si>
  <si>
    <t>2025-11-01T14:06:25Z</t>
  </si>
  <si>
    <t>2025-11-01T14:06:31Z</t>
  </si>
  <si>
    <t>2025-11-01T14:06:42Z</t>
  </si>
  <si>
    <t>8c4fbc4c-6bd5-48bc-a9bf-022212ff069d</t>
  </si>
  <si>
    <t>2025-11-01T14:06:47Z</t>
  </si>
  <si>
    <t>2025-11-02T14:44:40Z</t>
  </si>
  <si>
    <t>dfea60c1-976e-429c-9579-7983c8f9cc54</t>
  </si>
  <si>
    <t>2025-11-02T14:45:01Z</t>
  </si>
  <si>
    <t>2025-11-02T14:45:11Z</t>
  </si>
  <si>
    <t>2025-11-02T14:45:21Z</t>
  </si>
  <si>
    <t>2025-11-02T14:47:26Z</t>
  </si>
  <si>
    <t>2025-11-02T14:47:38Z</t>
  </si>
  <si>
    <t>2025-11-02T14:47:52Z</t>
  </si>
  <si>
    <t>0b903683-c303-4c80-91bd-ace09e301b5d</t>
  </si>
  <si>
    <t>2025-11-02T14:48:00Z</t>
  </si>
  <si>
    <t>2025-11-02T14:48:09Z</t>
  </si>
  <si>
    <t>2025-11-02T14:48:16Z</t>
  </si>
  <si>
    <t>2025-11-02T14:48:31Z</t>
  </si>
  <si>
    <t>2025-11-02T16:06:19Z</t>
  </si>
  <si>
    <t>21ec89cc-f616-4125-b7a4-fd7a6d39457f</t>
  </si>
  <si>
    <t>2025-11-02T16:06:33Z</t>
  </si>
  <si>
    <t>2025-11-02T16:06:46Z</t>
  </si>
  <si>
    <t>2025-11-02T16:06:56Z</t>
  </si>
  <si>
    <t>2025-11-02T16:07:02Z</t>
  </si>
  <si>
    <t>2025-11-02T16:11:17Z</t>
  </si>
  <si>
    <t>df24ea6c-13ec-4a91-a25f-f65d8f7ccd95</t>
  </si>
  <si>
    <t>2025-11-02T16:11:41Z</t>
  </si>
  <si>
    <t>2025-11-02T16:11:56Z</t>
  </si>
  <si>
    <t>2025-11-02T21:36:35Z</t>
  </si>
  <si>
    <t>a8fd6e77-367a-42bb-be87-ff8182d6efed</t>
  </si>
  <si>
    <t>2025-11-02T21:36:55Z</t>
  </si>
  <si>
    <t>2025-11-02T21:38:49Z</t>
  </si>
  <si>
    <t>2025-11-02T21:39:09Z</t>
  </si>
  <si>
    <t>2025-11-02T21:39:31Z</t>
  </si>
  <si>
    <t>2025-11-02T21:39:46Z</t>
  </si>
  <si>
    <t>2025-11-02T21:40:07Z</t>
  </si>
  <si>
    <t>4c02bf18-a67c-43fb-b3ab-df120f3d7c4e</t>
  </si>
  <si>
    <t>2025-11-02T21:40:24Z</t>
  </si>
  <si>
    <t>2025-11-03T07:21:31Z</t>
  </si>
  <si>
    <t>74533d4b-e541-4072-b7bc-733732daff06</t>
  </si>
  <si>
    <t>2025-11-03T07:55:21Z</t>
  </si>
  <si>
    <t>106e23fb-2c21-41af-9792-2801e59f871e</t>
  </si>
  <si>
    <t>2025-11-03T07:56:03Z</t>
  </si>
  <si>
    <t>57fb6c34-e82e-4918-9340-44bc7811c484</t>
  </si>
  <si>
    <t>2025-11-03T07:56:24Z</t>
  </si>
  <si>
    <t>2025-11-03T07:56:49Z</t>
  </si>
  <si>
    <t>2025-11-03T07:57:03Z</t>
  </si>
  <si>
    <t>2025-11-03T07:57:28Z</t>
  </si>
  <si>
    <t>2025-11-03T14:42:19Z</t>
  </si>
  <si>
    <t>ef4ad9f3-acd6-4d2a-afbf-cc1235075c39</t>
  </si>
  <si>
    <t>2025-11-03T14:42:38Z</t>
  </si>
  <si>
    <t>2025-11-03T14:42:54Z</t>
  </si>
  <si>
    <t>2025-11-03T14:43:03Z</t>
  </si>
  <si>
    <t>2025-11-03T14:43:39Z</t>
  </si>
  <si>
    <t>2025-11-03T14:43:49Z</t>
  </si>
  <si>
    <t>2025-11-04T16:24:51Z</t>
  </si>
  <si>
    <t>1cd1281e-93ec-4dde-8e59-670276a506e8</t>
  </si>
  <si>
    <t>2025-11-04T16:25:01Z</t>
  </si>
  <si>
    <t>2025-11-04T16:25:12Z</t>
  </si>
  <si>
    <t>2025-11-04T16:25:37Z</t>
  </si>
  <si>
    <t>2025-11-04T16:25:48Z</t>
  </si>
  <si>
    <t>2025-11-04T16:26:11Z</t>
  </si>
  <si>
    <t>2025-11-04T16:51:40Z</t>
  </si>
  <si>
    <t>0fdf0148-5a98-40b0-96f0-ebbd6ed48f55</t>
  </si>
  <si>
    <t>2025-11-04T16:51:51Z</t>
  </si>
  <si>
    <t>2025-11-04T16:52:03Z</t>
  </si>
  <si>
    <t>2025-11-04T16:52:11Z</t>
  </si>
  <si>
    <t>2025-11-04T16:52:18Z</t>
  </si>
  <si>
    <t>2025-11-04T16:52:25Z</t>
  </si>
  <si>
    <t>2025-11-04T17:08:59Z</t>
  </si>
  <si>
    <t>1bca081b-9032-4874-9fa3-10d9878c21e1</t>
  </si>
  <si>
    <t>2025-11-04T17:09:07Z</t>
  </si>
  <si>
    <t>2025-11-04T17:09:14Z</t>
  </si>
  <si>
    <t>2025-11-04T17:09:19Z</t>
  </si>
  <si>
    <t>2025-11-04T17:09:25Z</t>
  </si>
  <si>
    <t>2025-11-04T17:09:32Z</t>
  </si>
  <si>
    <t>2025-11-04T17:52:25Z</t>
  </si>
  <si>
    <t>bbffed68-0cb6-46bc-95b4-05fff777e082</t>
  </si>
  <si>
    <t>2025-11-04T17:52:30Z</t>
  </si>
  <si>
    <t>2025-11-04T17:52:37Z</t>
  </si>
  <si>
    <t>2025-11-04T17:52:40Z</t>
  </si>
  <si>
    <t>2025-11-04T17:52:45Z</t>
  </si>
  <si>
    <t>2025-11-04T17:53:01Z</t>
  </si>
  <si>
    <t>2025-11-04T21:37:32Z</t>
  </si>
  <si>
    <t>4569a795-d85c-4ddc-a8cf-fd5f5984072d</t>
  </si>
  <si>
    <t>2025-11-04T21:37:38Z</t>
  </si>
  <si>
    <t>2025-11-04T21:37:53Z</t>
  </si>
  <si>
    <t>2025-11-04T21:38:04Z</t>
  </si>
  <si>
    <t>2025-11-04T21:38:10Z</t>
  </si>
  <si>
    <t>2025-11-04T21:38:15Z</t>
  </si>
  <si>
    <t>2025-11-04T21:41:32Z</t>
  </si>
  <si>
    <t>76acf4f9-e4b4-44e8-bf9a-8e65d53562ab</t>
  </si>
  <si>
    <t>2025-11-04T21:41:38Z</t>
  </si>
  <si>
    <t>2025-11-04T21:42:18Z</t>
  </si>
  <si>
    <t>476fdfdd-ff51-4bd2-9333-90178d4b30c9</t>
  </si>
  <si>
    <t>2025-11-04T21:42:23Z</t>
  </si>
  <si>
    <t>2025-11-04T21:42:28Z</t>
  </si>
  <si>
    <t>2025-11-04T21:42:33Z</t>
  </si>
  <si>
    <t>2025-11-04T22:10:39Z</t>
  </si>
  <si>
    <t>065f7123-88cf-4d7d-80a2-8d6d7ccd1604</t>
  </si>
  <si>
    <t>2025-11-04T22:11:26Z</t>
  </si>
  <si>
    <t>512cef79-7c37-41fc-809c-e6bcd1831dd3</t>
  </si>
  <si>
    <t>2025-11-04T22:26:58Z</t>
  </si>
  <si>
    <t>248d6e93-3aa8-46d7-9891-9ce72a70b2b7</t>
  </si>
  <si>
    <t>2025-11-04T22:39:19Z</t>
  </si>
  <si>
    <t>3ceb1ae6-2981-4f2b-b1a7-0d069b7501ac</t>
  </si>
  <si>
    <t>2025-11-04T22:39:25Z</t>
  </si>
  <si>
    <t>2025-11-04T22:40:30Z</t>
  </si>
  <si>
    <t>2025-11-04T22:40:43Z</t>
  </si>
  <si>
    <t>2025-11-04T22:40:54Z</t>
  </si>
  <si>
    <t>2025-11-04T22:41:04Z</t>
  </si>
  <si>
    <t>2025-11-04T23:06:05Z</t>
  </si>
  <si>
    <t>04b9211e-6527-477f-b5a5-7054d8a6efdb</t>
  </si>
  <si>
    <t>2025-11-04T23:06:10Z</t>
  </si>
  <si>
    <t>2025-11-04T23:06:13Z</t>
  </si>
  <si>
    <t>2025-11-04T23:06:17Z</t>
  </si>
  <si>
    <t>2025-11-04T23:06:21Z</t>
  </si>
  <si>
    <t>2025-11-04T23:06:27Z</t>
  </si>
  <si>
    <t>2025-11-08T14:23:07Z</t>
  </si>
  <si>
    <t>ef92c556-ad23-49a2-b3cb-ae82ac5fef79</t>
  </si>
  <si>
    <t>2025-11-08T14:23:20Z</t>
  </si>
  <si>
    <t>2025-11-08T14:23:28Z</t>
  </si>
  <si>
    <t>2025-11-08T14:23:37Z</t>
  </si>
  <si>
    <t>2025-11-08T14:23:56Z</t>
  </si>
  <si>
    <t>2025-11-08T14:24:03Z</t>
  </si>
  <si>
    <t>2025-11-08T14:24:29Z</t>
  </si>
  <si>
    <t>8861516c-8a86-47d6-af82-a581353c5435</t>
  </si>
  <si>
    <t>2025-11-08T14:24:35Z</t>
  </si>
  <si>
    <t>2025-11-08T14:24:48Z</t>
  </si>
  <si>
    <t>2025-11-08T14:25:00Z</t>
  </si>
  <si>
    <t>2025-11-08T14:25:50Z</t>
  </si>
  <si>
    <t>2025-11-08T14:26:02Z</t>
  </si>
  <si>
    <t>2025-11-08T14:26:27Z</t>
  </si>
  <si>
    <t>2025-11-08T14:27:28Z</t>
  </si>
  <si>
    <t>c55e4011-1f10-474e-bf7f-9077d9310dfa</t>
  </si>
  <si>
    <t>2025-11-08T14:27:35Z</t>
  </si>
  <si>
    <t>2025-11-08T14:27:38Z</t>
  </si>
  <si>
    <t>2025-11-08T14:27:42Z</t>
  </si>
  <si>
    <t>2025-11-08T14:27:47Z</t>
  </si>
  <si>
    <t>2025-11-08T14:27:54Z</t>
  </si>
  <si>
    <t>2025-11-08T14:28:03Z</t>
  </si>
  <si>
    <t>Verhandlung_abgeschlossen</t>
  </si>
  <si>
    <t>r1</t>
  </si>
  <si>
    <t>r2</t>
  </si>
  <si>
    <t>r3</t>
  </si>
  <si>
    <t>r4</t>
  </si>
  <si>
    <t>r5</t>
  </si>
  <si>
    <t>r6</t>
  </si>
  <si>
    <t>Verhandlung-abgeschlossen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</si>
</sst>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7"/>
  <sheetViews>
    <sheetView workbookViewId="0">
      <selection activeCell="J48" sqref="J48"/>
    </sheetView>
  </sheetViews>
  <sheetFormatPr baseColWidth="10" defaultColWidth="9.140625" defaultRowHeight="15" x14ac:dyDescent="0.25"/>
  <cols>
    <col min="1" max="1" width="20" customWidth="1"/>
    <col min="2" max="2" width="41.5703125" customWidth="1"/>
    <col min="3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1</v>
      </c>
      <c r="D2">
        <v>5500</v>
      </c>
      <c r="E2">
        <v>4000</v>
      </c>
      <c r="F2" t="b">
        <v>0</v>
      </c>
      <c r="G2" t="b">
        <v>0</v>
      </c>
    </row>
    <row r="3" spans="1:7" x14ac:dyDescent="0.25">
      <c r="A3" t="s">
        <v>9</v>
      </c>
      <c r="B3" t="s">
        <v>8</v>
      </c>
      <c r="C3">
        <v>2</v>
      </c>
      <c r="D3">
        <v>5454.9</v>
      </c>
      <c r="E3">
        <v>2750</v>
      </c>
      <c r="F3" t="b">
        <v>0</v>
      </c>
      <c r="G3" t="b">
        <v>0</v>
      </c>
    </row>
    <row r="4" spans="1:7" x14ac:dyDescent="0.25">
      <c r="A4" t="s">
        <v>10</v>
      </c>
      <c r="B4" t="s">
        <v>8</v>
      </c>
      <c r="C4">
        <v>3</v>
      </c>
      <c r="D4">
        <v>5370.75</v>
      </c>
      <c r="E4">
        <v>650</v>
      </c>
      <c r="F4" t="b">
        <v>0</v>
      </c>
      <c r="G4" t="b">
        <v>0</v>
      </c>
    </row>
    <row r="5" spans="1:7" x14ac:dyDescent="0.25">
      <c r="A5" t="s">
        <v>11</v>
      </c>
      <c r="B5" t="s">
        <v>8</v>
      </c>
      <c r="C5">
        <v>4</v>
      </c>
      <c r="D5">
        <v>5202.57</v>
      </c>
      <c r="E5">
        <v>4000</v>
      </c>
      <c r="F5" t="b">
        <v>0</v>
      </c>
      <c r="G5" t="b">
        <v>0</v>
      </c>
    </row>
    <row r="6" spans="1:7" x14ac:dyDescent="0.25">
      <c r="A6" t="s">
        <v>12</v>
      </c>
      <c r="B6" t="s">
        <v>8</v>
      </c>
      <c r="C6">
        <v>5</v>
      </c>
      <c r="D6">
        <v>5145.1099999999997</v>
      </c>
      <c r="E6">
        <v>4950</v>
      </c>
      <c r="F6" t="b">
        <v>1</v>
      </c>
      <c r="G6" t="b">
        <v>1</v>
      </c>
    </row>
    <row r="7" spans="1:7" x14ac:dyDescent="0.25">
      <c r="A7" t="s">
        <v>13</v>
      </c>
      <c r="B7" t="s">
        <v>14</v>
      </c>
      <c r="C7">
        <v>1</v>
      </c>
      <c r="D7">
        <v>5500</v>
      </c>
      <c r="E7">
        <v>3000</v>
      </c>
      <c r="F7" t="b">
        <v>0</v>
      </c>
      <c r="G7" t="b">
        <v>0</v>
      </c>
    </row>
    <row r="8" spans="1:7" x14ac:dyDescent="0.25">
      <c r="A8" t="s">
        <v>15</v>
      </c>
      <c r="B8" t="s">
        <v>14</v>
      </c>
      <c r="C8">
        <v>2</v>
      </c>
      <c r="D8">
        <v>5424.83</v>
      </c>
      <c r="E8">
        <v>2400</v>
      </c>
      <c r="F8" t="b">
        <v>0</v>
      </c>
      <c r="G8" t="b">
        <v>0</v>
      </c>
    </row>
    <row r="9" spans="1:7" x14ac:dyDescent="0.25">
      <c r="A9" t="s">
        <v>16</v>
      </c>
      <c r="B9" t="s">
        <v>14</v>
      </c>
      <c r="C9">
        <v>3</v>
      </c>
      <c r="D9">
        <v>5330.72</v>
      </c>
      <c r="E9">
        <v>2500</v>
      </c>
      <c r="F9" t="b">
        <v>0</v>
      </c>
      <c r="G9" t="b">
        <v>0</v>
      </c>
    </row>
    <row r="10" spans="1:7" x14ac:dyDescent="0.25">
      <c r="A10" t="s">
        <v>17</v>
      </c>
      <c r="B10" t="s">
        <v>14</v>
      </c>
      <c r="C10">
        <v>4</v>
      </c>
      <c r="D10">
        <v>5229.88</v>
      </c>
      <c r="E10">
        <v>1500</v>
      </c>
      <c r="F10" t="b">
        <v>0</v>
      </c>
      <c r="G10" t="b">
        <v>0</v>
      </c>
    </row>
    <row r="11" spans="1:7" x14ac:dyDescent="0.25">
      <c r="A11" t="s">
        <v>18</v>
      </c>
      <c r="B11" t="s">
        <v>14</v>
      </c>
      <c r="C11">
        <v>5</v>
      </c>
      <c r="D11">
        <v>5051.67</v>
      </c>
      <c r="E11">
        <v>1400</v>
      </c>
      <c r="F11" t="b">
        <v>0</v>
      </c>
      <c r="G11" t="b">
        <v>0</v>
      </c>
    </row>
    <row r="12" spans="1:7" x14ac:dyDescent="0.25">
      <c r="A12" t="s">
        <v>19</v>
      </c>
      <c r="B12" t="s">
        <v>14</v>
      </c>
      <c r="C12">
        <v>6</v>
      </c>
      <c r="D12">
        <v>4783.63</v>
      </c>
      <c r="E12">
        <v>1450</v>
      </c>
      <c r="F12" t="b">
        <v>0</v>
      </c>
      <c r="G12" t="b">
        <v>0</v>
      </c>
    </row>
    <row r="13" spans="1:7" x14ac:dyDescent="0.25">
      <c r="A13" t="s">
        <v>20</v>
      </c>
      <c r="B13" t="s">
        <v>21</v>
      </c>
      <c r="C13">
        <v>1</v>
      </c>
      <c r="D13">
        <v>5500</v>
      </c>
      <c r="E13">
        <v>3000</v>
      </c>
      <c r="F13" t="b">
        <v>0</v>
      </c>
      <c r="G13" t="b">
        <v>0</v>
      </c>
    </row>
    <row r="14" spans="1:7" x14ac:dyDescent="0.25">
      <c r="A14" t="s">
        <v>22</v>
      </c>
      <c r="B14" t="s">
        <v>21</v>
      </c>
      <c r="C14">
        <v>2</v>
      </c>
      <c r="D14">
        <v>5424.83</v>
      </c>
      <c r="E14">
        <v>2000</v>
      </c>
      <c r="F14" t="b">
        <v>0</v>
      </c>
      <c r="G14" t="b">
        <v>0</v>
      </c>
    </row>
    <row r="15" spans="1:7" x14ac:dyDescent="0.25">
      <c r="A15" t="s">
        <v>23</v>
      </c>
      <c r="B15" t="s">
        <v>21</v>
      </c>
      <c r="C15">
        <v>3</v>
      </c>
      <c r="D15">
        <v>5318.28</v>
      </c>
      <c r="E15">
        <v>1500</v>
      </c>
      <c r="F15" t="b">
        <v>0</v>
      </c>
      <c r="G15" t="b">
        <v>0</v>
      </c>
    </row>
    <row r="16" spans="1:7" x14ac:dyDescent="0.25">
      <c r="A16" t="s">
        <v>24</v>
      </c>
      <c r="B16" t="s">
        <v>21</v>
      </c>
      <c r="C16">
        <v>4</v>
      </c>
      <c r="D16">
        <v>5182.25</v>
      </c>
      <c r="E16">
        <v>2800</v>
      </c>
      <c r="F16" t="b">
        <v>0</v>
      </c>
      <c r="G16" t="b">
        <v>0</v>
      </c>
    </row>
    <row r="17" spans="1:7" x14ac:dyDescent="0.25">
      <c r="A17" t="s">
        <v>25</v>
      </c>
      <c r="B17" t="s">
        <v>21</v>
      </c>
      <c r="C17">
        <v>5</v>
      </c>
      <c r="D17">
        <v>5068.43</v>
      </c>
      <c r="E17">
        <v>2600</v>
      </c>
      <c r="F17" t="b">
        <v>0</v>
      </c>
      <c r="G17" t="b">
        <v>0</v>
      </c>
    </row>
    <row r="18" spans="1:7" x14ac:dyDescent="0.25">
      <c r="A18" t="s">
        <v>26</v>
      </c>
      <c r="B18" t="s">
        <v>21</v>
      </c>
      <c r="C18">
        <v>6</v>
      </c>
      <c r="D18">
        <v>4887.24</v>
      </c>
      <c r="F18" t="b">
        <v>1</v>
      </c>
      <c r="G18" t="b">
        <v>1</v>
      </c>
    </row>
    <row r="19" spans="1:7" x14ac:dyDescent="0.25">
      <c r="A19" t="s">
        <v>27</v>
      </c>
      <c r="B19" t="s">
        <v>28</v>
      </c>
      <c r="C19">
        <v>1</v>
      </c>
      <c r="D19">
        <v>5500</v>
      </c>
      <c r="E19">
        <v>2400</v>
      </c>
      <c r="F19" t="b">
        <v>0</v>
      </c>
      <c r="G19" t="b">
        <v>0</v>
      </c>
    </row>
    <row r="20" spans="1:7" x14ac:dyDescent="0.25">
      <c r="A20" t="s">
        <v>29</v>
      </c>
      <c r="B20" t="s">
        <v>28</v>
      </c>
      <c r="C20">
        <v>2</v>
      </c>
      <c r="D20">
        <v>5406.78</v>
      </c>
      <c r="E20">
        <v>2200</v>
      </c>
      <c r="F20" t="b">
        <v>0</v>
      </c>
      <c r="G20" t="b">
        <v>0</v>
      </c>
    </row>
    <row r="21" spans="1:7" x14ac:dyDescent="0.25">
      <c r="A21" t="s">
        <v>30</v>
      </c>
      <c r="B21" t="s">
        <v>28</v>
      </c>
      <c r="C21">
        <v>3</v>
      </c>
      <c r="D21">
        <v>5307.01</v>
      </c>
      <c r="E21">
        <v>2100</v>
      </c>
      <c r="F21" t="b">
        <v>0</v>
      </c>
      <c r="G21" t="b">
        <v>0</v>
      </c>
    </row>
    <row r="22" spans="1:7" x14ac:dyDescent="0.25">
      <c r="A22" t="s">
        <v>31</v>
      </c>
      <c r="B22" t="s">
        <v>28</v>
      </c>
      <c r="C22">
        <v>4</v>
      </c>
      <c r="D22">
        <v>5192.76</v>
      </c>
      <c r="E22">
        <v>3600</v>
      </c>
      <c r="F22" t="b">
        <v>0</v>
      </c>
      <c r="G22" t="b">
        <v>0</v>
      </c>
    </row>
    <row r="23" spans="1:7" x14ac:dyDescent="0.25">
      <c r="A23" t="s">
        <v>32</v>
      </c>
      <c r="B23" t="s">
        <v>28</v>
      </c>
      <c r="C23">
        <v>5</v>
      </c>
      <c r="D23">
        <v>5116.66</v>
      </c>
      <c r="E23">
        <v>2400</v>
      </c>
      <c r="F23" t="b">
        <v>0</v>
      </c>
      <c r="G23" t="b">
        <v>0</v>
      </c>
    </row>
    <row r="24" spans="1:7" x14ac:dyDescent="0.25">
      <c r="A24" t="s">
        <v>33</v>
      </c>
      <c r="B24" t="s">
        <v>28</v>
      </c>
      <c r="C24">
        <v>6</v>
      </c>
      <c r="D24">
        <v>4917.25</v>
      </c>
      <c r="E24">
        <v>2100</v>
      </c>
      <c r="F24" t="b">
        <v>0</v>
      </c>
      <c r="G24" t="b">
        <v>0</v>
      </c>
    </row>
    <row r="25" spans="1:7" x14ac:dyDescent="0.25">
      <c r="A25" t="s">
        <v>34</v>
      </c>
      <c r="B25" t="s">
        <v>35</v>
      </c>
      <c r="C25">
        <v>1</v>
      </c>
      <c r="D25">
        <v>5500</v>
      </c>
      <c r="E25">
        <v>2400</v>
      </c>
      <c r="F25" t="b">
        <v>0</v>
      </c>
      <c r="G25" t="b">
        <v>0</v>
      </c>
    </row>
    <row r="26" spans="1:7" x14ac:dyDescent="0.25">
      <c r="A26" t="s">
        <v>36</v>
      </c>
      <c r="B26" t="s">
        <v>35</v>
      </c>
      <c r="C26">
        <v>2</v>
      </c>
      <c r="D26">
        <v>5406.78</v>
      </c>
      <c r="E26">
        <v>5000</v>
      </c>
      <c r="F26" t="b">
        <v>1</v>
      </c>
      <c r="G26" t="b">
        <v>1</v>
      </c>
    </row>
    <row r="27" spans="1:7" x14ac:dyDescent="0.25">
      <c r="A27" t="s">
        <v>37</v>
      </c>
      <c r="B27" t="s">
        <v>38</v>
      </c>
      <c r="C27">
        <v>1</v>
      </c>
      <c r="D27">
        <v>5500</v>
      </c>
      <c r="E27">
        <v>2500</v>
      </c>
      <c r="F27" t="b">
        <v>0</v>
      </c>
      <c r="G27" t="b">
        <v>0</v>
      </c>
    </row>
    <row r="28" spans="1:7" x14ac:dyDescent="0.25">
      <c r="A28" t="s">
        <v>39</v>
      </c>
      <c r="B28" t="s">
        <v>38</v>
      </c>
      <c r="C28">
        <v>2</v>
      </c>
      <c r="D28">
        <v>5409.79</v>
      </c>
      <c r="E28">
        <v>2200</v>
      </c>
      <c r="F28" t="b">
        <v>0</v>
      </c>
      <c r="G28" t="b">
        <v>0</v>
      </c>
    </row>
    <row r="29" spans="1:7" x14ac:dyDescent="0.25">
      <c r="A29" t="s">
        <v>40</v>
      </c>
      <c r="B29" t="s">
        <v>38</v>
      </c>
      <c r="C29">
        <v>3</v>
      </c>
      <c r="D29">
        <v>5309.93</v>
      </c>
      <c r="E29">
        <v>1600</v>
      </c>
      <c r="F29" t="b">
        <v>0</v>
      </c>
      <c r="G29" t="b">
        <v>0</v>
      </c>
    </row>
    <row r="30" spans="1:7" x14ac:dyDescent="0.25">
      <c r="A30" t="s">
        <v>41</v>
      </c>
      <c r="B30" t="s">
        <v>38</v>
      </c>
      <c r="C30">
        <v>4</v>
      </c>
      <c r="D30">
        <v>5177.76</v>
      </c>
      <c r="E30">
        <v>4750</v>
      </c>
      <c r="F30" t="b">
        <v>0</v>
      </c>
      <c r="G30" t="b">
        <v>0</v>
      </c>
    </row>
    <row r="31" spans="1:7" x14ac:dyDescent="0.25">
      <c r="A31" t="s">
        <v>42</v>
      </c>
      <c r="B31" t="s">
        <v>38</v>
      </c>
      <c r="C31">
        <v>5</v>
      </c>
      <c r="D31">
        <v>5157.32</v>
      </c>
      <c r="E31">
        <v>4300</v>
      </c>
      <c r="F31" t="b">
        <v>0</v>
      </c>
      <c r="G31" t="b">
        <v>0</v>
      </c>
    </row>
    <row r="32" spans="1:7" x14ac:dyDescent="0.25">
      <c r="A32" t="s">
        <v>43</v>
      </c>
      <c r="B32" t="s">
        <v>38</v>
      </c>
      <c r="C32">
        <v>6</v>
      </c>
      <c r="D32">
        <v>5094.3900000000003</v>
      </c>
      <c r="E32">
        <v>100</v>
      </c>
      <c r="F32" t="b">
        <v>0</v>
      </c>
      <c r="G32" t="b">
        <v>0</v>
      </c>
    </row>
    <row r="33" spans="1:7" x14ac:dyDescent="0.25">
      <c r="A33" t="s">
        <v>44</v>
      </c>
      <c r="B33" t="s">
        <v>45</v>
      </c>
      <c r="C33">
        <v>1</v>
      </c>
      <c r="D33">
        <v>5500</v>
      </c>
      <c r="E33">
        <v>100</v>
      </c>
      <c r="F33" t="b">
        <v>0</v>
      </c>
      <c r="G33" t="b">
        <v>0</v>
      </c>
    </row>
    <row r="34" spans="1:7" x14ac:dyDescent="0.25">
      <c r="A34" t="s">
        <v>46</v>
      </c>
      <c r="B34" t="s">
        <v>45</v>
      </c>
      <c r="C34">
        <v>2</v>
      </c>
      <c r="D34">
        <v>5337.62</v>
      </c>
      <c r="E34">
        <v>1500</v>
      </c>
      <c r="F34" t="b">
        <v>0</v>
      </c>
      <c r="G34" t="b">
        <v>0</v>
      </c>
    </row>
    <row r="35" spans="1:7" x14ac:dyDescent="0.25">
      <c r="A35" t="s">
        <v>47</v>
      </c>
      <c r="B35" t="s">
        <v>45</v>
      </c>
      <c r="C35">
        <v>3</v>
      </c>
      <c r="D35">
        <v>5218.2299999999996</v>
      </c>
      <c r="E35">
        <v>1300</v>
      </c>
      <c r="F35" t="b">
        <v>0</v>
      </c>
      <c r="G35" t="b">
        <v>0</v>
      </c>
    </row>
    <row r="36" spans="1:7" x14ac:dyDescent="0.25">
      <c r="A36" t="s">
        <v>48</v>
      </c>
      <c r="B36" t="s">
        <v>45</v>
      </c>
      <c r="C36">
        <v>4</v>
      </c>
      <c r="D36">
        <v>5078.6400000000003</v>
      </c>
      <c r="E36">
        <v>1250</v>
      </c>
      <c r="F36" t="b">
        <v>0</v>
      </c>
      <c r="G36" t="b">
        <v>0</v>
      </c>
    </row>
    <row r="37" spans="1:7" x14ac:dyDescent="0.25">
      <c r="A37" t="s">
        <v>49</v>
      </c>
      <c r="B37" t="s">
        <v>45</v>
      </c>
      <c r="C37">
        <v>5</v>
      </c>
      <c r="D37">
        <v>4895.72</v>
      </c>
      <c r="E37">
        <v>4850</v>
      </c>
      <c r="F37" t="b">
        <v>1</v>
      </c>
      <c r="G37" t="b">
        <v>1</v>
      </c>
    </row>
    <row r="38" spans="1:7" x14ac:dyDescent="0.25">
      <c r="A38" t="s">
        <v>50</v>
      </c>
      <c r="B38" t="s">
        <v>51</v>
      </c>
      <c r="C38">
        <v>1</v>
      </c>
      <c r="D38">
        <v>5500</v>
      </c>
      <c r="E38">
        <v>3800</v>
      </c>
      <c r="F38" t="b">
        <v>0</v>
      </c>
      <c r="G38" t="b">
        <v>0</v>
      </c>
    </row>
    <row r="39" spans="1:7" x14ac:dyDescent="0.25">
      <c r="A39" t="s">
        <v>52</v>
      </c>
      <c r="B39" t="s">
        <v>51</v>
      </c>
      <c r="C39">
        <v>2</v>
      </c>
      <c r="D39">
        <v>5250</v>
      </c>
      <c r="E39">
        <v>4000</v>
      </c>
      <c r="F39" t="b">
        <v>0</v>
      </c>
      <c r="G39" t="b">
        <v>0</v>
      </c>
    </row>
    <row r="40" spans="1:7" x14ac:dyDescent="0.25">
      <c r="A40" t="s">
        <v>53</v>
      </c>
      <c r="B40" t="s">
        <v>51</v>
      </c>
      <c r="C40">
        <v>3</v>
      </c>
      <c r="D40">
        <v>5050</v>
      </c>
      <c r="E40">
        <v>4300</v>
      </c>
      <c r="F40" t="b">
        <v>0</v>
      </c>
      <c r="G40" t="b">
        <v>0</v>
      </c>
    </row>
    <row r="41" spans="1:7" x14ac:dyDescent="0.25">
      <c r="A41" t="s">
        <v>54</v>
      </c>
      <c r="B41" t="s">
        <v>51</v>
      </c>
      <c r="C41">
        <v>4</v>
      </c>
      <c r="D41">
        <v>4850</v>
      </c>
      <c r="E41">
        <v>4500</v>
      </c>
      <c r="F41" t="b">
        <v>0</v>
      </c>
      <c r="G41" t="b">
        <v>0</v>
      </c>
    </row>
    <row r="42" spans="1:7" x14ac:dyDescent="0.25">
      <c r="A42" t="s">
        <v>55</v>
      </c>
      <c r="B42" t="s">
        <v>51</v>
      </c>
      <c r="C42">
        <v>5</v>
      </c>
      <c r="D42">
        <v>4730</v>
      </c>
      <c r="F42" t="b">
        <v>1</v>
      </c>
      <c r="G42" t="b">
        <v>1</v>
      </c>
    </row>
    <row r="43" spans="1:7" x14ac:dyDescent="0.25">
      <c r="A43" t="s">
        <v>56</v>
      </c>
      <c r="B43" t="s">
        <v>57</v>
      </c>
      <c r="C43">
        <v>1</v>
      </c>
      <c r="D43">
        <v>5500</v>
      </c>
      <c r="E43">
        <v>4500</v>
      </c>
      <c r="F43" t="b">
        <v>0</v>
      </c>
      <c r="G43" t="b">
        <v>0</v>
      </c>
    </row>
    <row r="44" spans="1:7" x14ac:dyDescent="0.25">
      <c r="A44" t="s">
        <v>58</v>
      </c>
      <c r="B44" t="s">
        <v>57</v>
      </c>
      <c r="C44">
        <v>2</v>
      </c>
      <c r="D44">
        <v>5300</v>
      </c>
      <c r="E44">
        <v>4600</v>
      </c>
      <c r="F44" t="b">
        <v>0</v>
      </c>
      <c r="G44" t="b">
        <v>0</v>
      </c>
    </row>
    <row r="45" spans="1:7" x14ac:dyDescent="0.25">
      <c r="A45" t="s">
        <v>59</v>
      </c>
      <c r="B45" t="s">
        <v>57</v>
      </c>
      <c r="C45">
        <v>3</v>
      </c>
      <c r="D45">
        <v>5100</v>
      </c>
      <c r="E45">
        <v>4800</v>
      </c>
      <c r="F45" t="b">
        <v>1</v>
      </c>
      <c r="G45" t="b">
        <v>1</v>
      </c>
    </row>
    <row r="46" spans="1:7" x14ac:dyDescent="0.25">
      <c r="A46" t="s">
        <v>60</v>
      </c>
      <c r="B46" t="s">
        <v>61</v>
      </c>
      <c r="C46">
        <v>1</v>
      </c>
      <c r="D46">
        <v>5500</v>
      </c>
      <c r="E46">
        <v>4000</v>
      </c>
      <c r="F46" t="b">
        <v>0</v>
      </c>
      <c r="G46" t="b">
        <v>0</v>
      </c>
    </row>
    <row r="47" spans="1:7" x14ac:dyDescent="0.25">
      <c r="A47" t="s">
        <v>62</v>
      </c>
      <c r="B47" t="s">
        <v>61</v>
      </c>
      <c r="C47">
        <v>2</v>
      </c>
      <c r="D47">
        <v>5300</v>
      </c>
      <c r="E47">
        <v>4135</v>
      </c>
      <c r="F47" t="b">
        <v>0</v>
      </c>
      <c r="G47" t="b">
        <v>0</v>
      </c>
    </row>
    <row r="48" spans="1:7" x14ac:dyDescent="0.25">
      <c r="A48" t="s">
        <v>63</v>
      </c>
      <c r="B48" t="s">
        <v>61</v>
      </c>
      <c r="C48">
        <v>3</v>
      </c>
      <c r="D48">
        <v>5100</v>
      </c>
      <c r="E48">
        <v>4200</v>
      </c>
      <c r="F48" t="b">
        <v>0</v>
      </c>
      <c r="G48" t="b">
        <v>0</v>
      </c>
    </row>
    <row r="49" spans="1:7" x14ac:dyDescent="0.25">
      <c r="A49" t="s">
        <v>64</v>
      </c>
      <c r="B49" t="s">
        <v>61</v>
      </c>
      <c r="C49">
        <v>4</v>
      </c>
      <c r="D49">
        <v>4900</v>
      </c>
      <c r="E49">
        <v>4250</v>
      </c>
      <c r="F49" t="b">
        <v>0</v>
      </c>
      <c r="G49" t="b">
        <v>0</v>
      </c>
    </row>
    <row r="50" spans="1:7" x14ac:dyDescent="0.25">
      <c r="A50" t="s">
        <v>65</v>
      </c>
      <c r="B50" t="s">
        <v>61</v>
      </c>
      <c r="C50">
        <v>5</v>
      </c>
      <c r="D50">
        <v>4780</v>
      </c>
      <c r="E50">
        <v>4350</v>
      </c>
      <c r="F50" t="b">
        <v>0</v>
      </c>
      <c r="G50" t="b">
        <v>0</v>
      </c>
    </row>
    <row r="51" spans="1:7" x14ac:dyDescent="0.25">
      <c r="A51" t="s">
        <v>66</v>
      </c>
      <c r="B51" t="s">
        <v>61</v>
      </c>
      <c r="C51">
        <v>6</v>
      </c>
      <c r="D51">
        <v>4660</v>
      </c>
      <c r="E51">
        <v>4400</v>
      </c>
      <c r="F51" t="b">
        <v>0</v>
      </c>
      <c r="G51" t="b">
        <v>0</v>
      </c>
    </row>
    <row r="52" spans="1:7" x14ac:dyDescent="0.25">
      <c r="A52" t="s">
        <v>67</v>
      </c>
      <c r="B52" t="s">
        <v>68</v>
      </c>
      <c r="C52">
        <v>1</v>
      </c>
      <c r="D52">
        <v>5500</v>
      </c>
      <c r="E52">
        <v>4000</v>
      </c>
      <c r="F52" t="b">
        <v>0</v>
      </c>
      <c r="G52" t="b">
        <v>0</v>
      </c>
    </row>
    <row r="53" spans="1:7" x14ac:dyDescent="0.25">
      <c r="A53" t="s">
        <v>69</v>
      </c>
      <c r="B53" t="s">
        <v>68</v>
      </c>
      <c r="C53">
        <v>2</v>
      </c>
      <c r="D53">
        <v>5300</v>
      </c>
      <c r="E53">
        <v>4800</v>
      </c>
      <c r="F53" t="b">
        <v>1</v>
      </c>
      <c r="G53" t="b">
        <v>1</v>
      </c>
    </row>
    <row r="54" spans="1:7" x14ac:dyDescent="0.25">
      <c r="A54" t="s">
        <v>70</v>
      </c>
      <c r="B54" t="s">
        <v>71</v>
      </c>
      <c r="C54">
        <v>1</v>
      </c>
      <c r="D54">
        <v>5500</v>
      </c>
      <c r="E54">
        <v>4000</v>
      </c>
      <c r="F54" t="b">
        <v>0</v>
      </c>
      <c r="G54" t="b">
        <v>0</v>
      </c>
    </row>
    <row r="55" spans="1:7" x14ac:dyDescent="0.25">
      <c r="A55" t="s">
        <v>72</v>
      </c>
      <c r="B55" t="s">
        <v>73</v>
      </c>
      <c r="C55">
        <v>1</v>
      </c>
      <c r="D55">
        <v>5500</v>
      </c>
      <c r="E55">
        <v>4800</v>
      </c>
      <c r="F55" t="b">
        <v>1</v>
      </c>
      <c r="G55" t="b">
        <v>1</v>
      </c>
    </row>
    <row r="56" spans="1:7" x14ac:dyDescent="0.25">
      <c r="A56" t="s">
        <v>74</v>
      </c>
      <c r="B56" t="s">
        <v>75</v>
      </c>
      <c r="C56">
        <v>1</v>
      </c>
      <c r="D56">
        <v>5500</v>
      </c>
      <c r="E56">
        <v>3800</v>
      </c>
      <c r="F56" t="b">
        <v>0</v>
      </c>
      <c r="G56" t="b">
        <v>0</v>
      </c>
    </row>
    <row r="57" spans="1:7" x14ac:dyDescent="0.25">
      <c r="A57" t="s">
        <v>76</v>
      </c>
      <c r="B57" t="s">
        <v>75</v>
      </c>
      <c r="C57">
        <v>2</v>
      </c>
      <c r="D57">
        <v>5250</v>
      </c>
      <c r="E57">
        <v>4000</v>
      </c>
      <c r="F57" t="b">
        <v>0</v>
      </c>
      <c r="G57" t="b">
        <v>0</v>
      </c>
    </row>
    <row r="58" spans="1:7" x14ac:dyDescent="0.25">
      <c r="A58" t="s">
        <v>77</v>
      </c>
      <c r="B58" t="s">
        <v>75</v>
      </c>
      <c r="C58">
        <v>3</v>
      </c>
      <c r="D58">
        <v>5050</v>
      </c>
      <c r="E58">
        <v>4010</v>
      </c>
      <c r="F58" t="b">
        <v>0</v>
      </c>
      <c r="G58" t="b">
        <v>0</v>
      </c>
    </row>
    <row r="59" spans="1:7" x14ac:dyDescent="0.25">
      <c r="A59" t="s">
        <v>78</v>
      </c>
      <c r="B59" t="s">
        <v>75</v>
      </c>
      <c r="C59">
        <v>4</v>
      </c>
      <c r="D59">
        <v>4850</v>
      </c>
      <c r="E59">
        <v>4700</v>
      </c>
      <c r="F59" t="b">
        <v>0</v>
      </c>
      <c r="G59" t="b">
        <v>0</v>
      </c>
    </row>
    <row r="60" spans="1:7" x14ac:dyDescent="0.25">
      <c r="A60" t="s">
        <v>79</v>
      </c>
      <c r="B60" t="s">
        <v>75</v>
      </c>
      <c r="C60">
        <v>5</v>
      </c>
      <c r="D60">
        <v>4730</v>
      </c>
      <c r="E60">
        <v>4705</v>
      </c>
      <c r="F60" t="b">
        <v>1</v>
      </c>
      <c r="G60" t="b">
        <v>1</v>
      </c>
    </row>
    <row r="61" spans="1:7" x14ac:dyDescent="0.25">
      <c r="A61" t="s">
        <v>80</v>
      </c>
      <c r="B61" t="s">
        <v>81</v>
      </c>
      <c r="C61">
        <v>1</v>
      </c>
      <c r="D61">
        <v>5500</v>
      </c>
      <c r="E61">
        <v>3000</v>
      </c>
      <c r="F61" t="b">
        <v>0</v>
      </c>
      <c r="G61" t="b">
        <v>0</v>
      </c>
    </row>
    <row r="62" spans="1:7" x14ac:dyDescent="0.25">
      <c r="A62" t="s">
        <v>82</v>
      </c>
      <c r="B62" t="s">
        <v>81</v>
      </c>
      <c r="C62">
        <v>2</v>
      </c>
      <c r="D62">
        <v>5150</v>
      </c>
      <c r="E62">
        <v>3500</v>
      </c>
      <c r="F62" t="b">
        <v>0</v>
      </c>
      <c r="G62" t="b">
        <v>0</v>
      </c>
    </row>
    <row r="63" spans="1:7" x14ac:dyDescent="0.25">
      <c r="A63" t="s">
        <v>83</v>
      </c>
      <c r="B63" t="s">
        <v>81</v>
      </c>
      <c r="C63">
        <v>3</v>
      </c>
      <c r="D63">
        <v>4900</v>
      </c>
      <c r="E63">
        <v>3600</v>
      </c>
      <c r="F63" t="b">
        <v>0</v>
      </c>
      <c r="G63" t="b">
        <v>0</v>
      </c>
    </row>
    <row r="64" spans="1:7" x14ac:dyDescent="0.25">
      <c r="A64" t="s">
        <v>84</v>
      </c>
      <c r="B64" t="s">
        <v>81</v>
      </c>
      <c r="C64">
        <v>4</v>
      </c>
      <c r="D64">
        <v>4700</v>
      </c>
      <c r="E64">
        <v>3700</v>
      </c>
      <c r="F64" t="b">
        <v>0</v>
      </c>
      <c r="G64" t="b">
        <v>0</v>
      </c>
    </row>
    <row r="65" spans="1:7" x14ac:dyDescent="0.25">
      <c r="A65" t="s">
        <v>85</v>
      </c>
      <c r="B65" t="s">
        <v>81</v>
      </c>
      <c r="C65">
        <v>5</v>
      </c>
      <c r="D65">
        <v>4560.25</v>
      </c>
      <c r="E65">
        <v>3800</v>
      </c>
      <c r="F65" t="b">
        <v>0</v>
      </c>
      <c r="G65" t="b">
        <v>0</v>
      </c>
    </row>
    <row r="66" spans="1:7" x14ac:dyDescent="0.25">
      <c r="A66" t="s">
        <v>86</v>
      </c>
      <c r="B66" t="s">
        <v>81</v>
      </c>
      <c r="C66">
        <v>6</v>
      </c>
      <c r="D66">
        <v>4432.3599999999997</v>
      </c>
      <c r="F66" t="b">
        <v>1</v>
      </c>
      <c r="G66" t="b">
        <v>1</v>
      </c>
    </row>
    <row r="67" spans="1:7" x14ac:dyDescent="0.25">
      <c r="A67" t="s">
        <v>87</v>
      </c>
      <c r="B67" t="s">
        <v>88</v>
      </c>
      <c r="C67">
        <v>1</v>
      </c>
      <c r="D67">
        <v>5500</v>
      </c>
      <c r="E67">
        <v>1000</v>
      </c>
      <c r="F67" t="b">
        <v>0</v>
      </c>
      <c r="G67" t="b">
        <v>0</v>
      </c>
    </row>
    <row r="68" spans="1:7" x14ac:dyDescent="0.25">
      <c r="A68" t="s">
        <v>89</v>
      </c>
      <c r="B68" t="s">
        <v>88</v>
      </c>
      <c r="C68">
        <v>2</v>
      </c>
      <c r="D68">
        <v>5100</v>
      </c>
      <c r="E68">
        <v>1500</v>
      </c>
      <c r="F68" t="b">
        <v>0</v>
      </c>
      <c r="G68" t="b">
        <v>0</v>
      </c>
    </row>
    <row r="69" spans="1:7" x14ac:dyDescent="0.25">
      <c r="A69" t="s">
        <v>90</v>
      </c>
      <c r="B69" t="s">
        <v>88</v>
      </c>
      <c r="C69">
        <v>3</v>
      </c>
      <c r="D69">
        <v>4700</v>
      </c>
      <c r="E69">
        <v>1600</v>
      </c>
      <c r="F69" t="b">
        <v>0</v>
      </c>
      <c r="G69" t="b">
        <v>0</v>
      </c>
    </row>
    <row r="70" spans="1:7" x14ac:dyDescent="0.25">
      <c r="A70" t="s">
        <v>91</v>
      </c>
      <c r="B70" t="s">
        <v>88</v>
      </c>
      <c r="C70">
        <v>4</v>
      </c>
      <c r="D70">
        <v>4300</v>
      </c>
      <c r="E70">
        <v>1700</v>
      </c>
      <c r="F70" t="b">
        <v>0</v>
      </c>
      <c r="G70" t="b">
        <v>0</v>
      </c>
    </row>
    <row r="71" spans="1:7" x14ac:dyDescent="0.25">
      <c r="A71" t="s">
        <v>92</v>
      </c>
      <c r="B71" t="s">
        <v>88</v>
      </c>
      <c r="C71">
        <v>5</v>
      </c>
      <c r="D71">
        <v>3936.64</v>
      </c>
      <c r="E71">
        <v>1800</v>
      </c>
      <c r="F71" t="b">
        <v>0</v>
      </c>
      <c r="G71" t="b">
        <v>0</v>
      </c>
    </row>
    <row r="72" spans="1:7" x14ac:dyDescent="0.25">
      <c r="A72" t="s">
        <v>93</v>
      </c>
      <c r="B72" t="s">
        <v>88</v>
      </c>
      <c r="C72">
        <v>6</v>
      </c>
      <c r="D72">
        <v>3850</v>
      </c>
      <c r="E72">
        <v>1900</v>
      </c>
      <c r="F72" t="b">
        <v>0</v>
      </c>
      <c r="G72" t="b">
        <v>0</v>
      </c>
    </row>
    <row r="73" spans="1:7" x14ac:dyDescent="0.25">
      <c r="A73" t="s">
        <v>94</v>
      </c>
      <c r="B73" t="s">
        <v>95</v>
      </c>
      <c r="C73">
        <v>1</v>
      </c>
      <c r="D73">
        <v>5500</v>
      </c>
      <c r="E73">
        <v>1000</v>
      </c>
      <c r="F73" t="b">
        <v>0</v>
      </c>
      <c r="G73" t="b">
        <v>0</v>
      </c>
    </row>
    <row r="74" spans="1:7" x14ac:dyDescent="0.25">
      <c r="A74" t="s">
        <v>96</v>
      </c>
      <c r="B74" t="s">
        <v>95</v>
      </c>
      <c r="C74">
        <v>2</v>
      </c>
      <c r="D74">
        <v>5200</v>
      </c>
      <c r="E74">
        <v>1100</v>
      </c>
      <c r="F74" t="b">
        <v>0</v>
      </c>
      <c r="G74" t="b">
        <v>0</v>
      </c>
    </row>
    <row r="75" spans="1:7" x14ac:dyDescent="0.25">
      <c r="A75" t="s">
        <v>97</v>
      </c>
      <c r="B75" t="s">
        <v>95</v>
      </c>
      <c r="C75">
        <v>3</v>
      </c>
      <c r="D75">
        <v>4900</v>
      </c>
      <c r="E75">
        <v>1200</v>
      </c>
      <c r="F75" t="b">
        <v>0</v>
      </c>
      <c r="G75" t="b">
        <v>0</v>
      </c>
    </row>
    <row r="76" spans="1:7" x14ac:dyDescent="0.25">
      <c r="A76" t="s">
        <v>98</v>
      </c>
      <c r="B76" t="s">
        <v>95</v>
      </c>
      <c r="C76">
        <v>4</v>
      </c>
      <c r="D76">
        <v>4600</v>
      </c>
      <c r="E76">
        <v>1300</v>
      </c>
      <c r="F76" t="b">
        <v>0</v>
      </c>
      <c r="G76" t="b">
        <v>0</v>
      </c>
    </row>
    <row r="77" spans="1:7" x14ac:dyDescent="0.25">
      <c r="A77" t="s">
        <v>99</v>
      </c>
      <c r="B77" t="s">
        <v>95</v>
      </c>
      <c r="C77">
        <v>5</v>
      </c>
      <c r="D77">
        <v>4300</v>
      </c>
      <c r="E77">
        <v>1400</v>
      </c>
      <c r="F77" t="b">
        <v>0</v>
      </c>
      <c r="G77" t="b">
        <v>0</v>
      </c>
    </row>
    <row r="78" spans="1:7" x14ac:dyDescent="0.25">
      <c r="A78" t="s">
        <v>100</v>
      </c>
      <c r="B78" t="s">
        <v>95</v>
      </c>
      <c r="C78">
        <v>6</v>
      </c>
      <c r="D78">
        <v>4000</v>
      </c>
      <c r="E78">
        <v>1500</v>
      </c>
      <c r="F78" t="b">
        <v>0</v>
      </c>
      <c r="G78" t="b">
        <v>0</v>
      </c>
    </row>
    <row r="79" spans="1:7" x14ac:dyDescent="0.25">
      <c r="A79" t="s">
        <v>101</v>
      </c>
      <c r="B79" t="s">
        <v>102</v>
      </c>
      <c r="C79">
        <v>1</v>
      </c>
      <c r="D79">
        <v>5500</v>
      </c>
      <c r="E79">
        <v>1000</v>
      </c>
      <c r="F79" t="b">
        <v>0</v>
      </c>
      <c r="G79" t="b">
        <v>0</v>
      </c>
    </row>
    <row r="80" spans="1:7" x14ac:dyDescent="0.25">
      <c r="A80" t="s">
        <v>103</v>
      </c>
      <c r="B80" t="s">
        <v>102</v>
      </c>
      <c r="C80">
        <v>2</v>
      </c>
      <c r="D80">
        <v>5200</v>
      </c>
      <c r="E80">
        <v>1100</v>
      </c>
      <c r="F80" t="b">
        <v>0</v>
      </c>
      <c r="G80" t="b">
        <v>0</v>
      </c>
    </row>
    <row r="81" spans="1:7" x14ac:dyDescent="0.25">
      <c r="A81" t="s">
        <v>104</v>
      </c>
      <c r="B81" t="s">
        <v>102</v>
      </c>
      <c r="C81">
        <v>3</v>
      </c>
      <c r="D81">
        <v>4900</v>
      </c>
      <c r="E81">
        <v>1200</v>
      </c>
      <c r="F81" t="b">
        <v>0</v>
      </c>
      <c r="G81" t="b">
        <v>0</v>
      </c>
    </row>
    <row r="82" spans="1:7" x14ac:dyDescent="0.25">
      <c r="A82" t="s">
        <v>105</v>
      </c>
      <c r="B82" t="s">
        <v>102</v>
      </c>
      <c r="C82">
        <v>4</v>
      </c>
      <c r="D82">
        <v>4600</v>
      </c>
      <c r="E82">
        <v>1300</v>
      </c>
      <c r="F82" t="b">
        <v>0</v>
      </c>
      <c r="G82" t="b">
        <v>0</v>
      </c>
    </row>
    <row r="83" spans="1:7" x14ac:dyDescent="0.25">
      <c r="A83" t="s">
        <v>106</v>
      </c>
      <c r="B83" t="s">
        <v>102</v>
      </c>
      <c r="C83">
        <v>5</v>
      </c>
      <c r="D83">
        <v>4300</v>
      </c>
      <c r="E83">
        <v>1400</v>
      </c>
      <c r="F83" t="b">
        <v>0</v>
      </c>
      <c r="G83" t="b">
        <v>0</v>
      </c>
    </row>
    <row r="84" spans="1:7" x14ac:dyDescent="0.25">
      <c r="A84" t="s">
        <v>107</v>
      </c>
      <c r="B84" t="s">
        <v>102</v>
      </c>
      <c r="C84">
        <v>6</v>
      </c>
      <c r="D84">
        <v>4000</v>
      </c>
      <c r="E84">
        <v>1500</v>
      </c>
      <c r="F84" t="b">
        <v>0</v>
      </c>
      <c r="G84" t="b">
        <v>0</v>
      </c>
    </row>
    <row r="85" spans="1:7" x14ac:dyDescent="0.25">
      <c r="A85" t="s">
        <v>108</v>
      </c>
      <c r="B85" t="s">
        <v>109</v>
      </c>
      <c r="C85">
        <v>1</v>
      </c>
      <c r="D85">
        <v>5500</v>
      </c>
      <c r="E85">
        <v>1000</v>
      </c>
      <c r="F85" t="b">
        <v>0</v>
      </c>
      <c r="G85" t="b">
        <v>0</v>
      </c>
    </row>
    <row r="86" spans="1:7" x14ac:dyDescent="0.25">
      <c r="A86" t="s">
        <v>110</v>
      </c>
      <c r="B86" t="s">
        <v>109</v>
      </c>
      <c r="C86">
        <v>2</v>
      </c>
      <c r="D86">
        <v>5100</v>
      </c>
      <c r="E86">
        <v>1100</v>
      </c>
      <c r="F86" t="b">
        <v>0</v>
      </c>
      <c r="G86" t="b">
        <v>0</v>
      </c>
    </row>
    <row r="87" spans="1:7" x14ac:dyDescent="0.25">
      <c r="A87" t="s">
        <v>111</v>
      </c>
      <c r="B87" t="s">
        <v>109</v>
      </c>
      <c r="C87">
        <v>3</v>
      </c>
      <c r="D87">
        <v>4700</v>
      </c>
      <c r="E87">
        <v>1200</v>
      </c>
      <c r="F87" t="b">
        <v>0</v>
      </c>
      <c r="G87" t="b">
        <v>0</v>
      </c>
    </row>
    <row r="88" spans="1:7" x14ac:dyDescent="0.25">
      <c r="A88" t="s">
        <v>112</v>
      </c>
      <c r="B88" t="s">
        <v>109</v>
      </c>
      <c r="C88">
        <v>4</v>
      </c>
      <c r="D88">
        <v>4300</v>
      </c>
      <c r="E88">
        <v>1300</v>
      </c>
      <c r="F88" t="b">
        <v>0</v>
      </c>
      <c r="G88" t="b">
        <v>0</v>
      </c>
    </row>
    <row r="89" spans="1:7" x14ac:dyDescent="0.25">
      <c r="A89" t="s">
        <v>113</v>
      </c>
      <c r="B89" t="s">
        <v>109</v>
      </c>
      <c r="C89">
        <v>5</v>
      </c>
      <c r="D89">
        <v>3880.74</v>
      </c>
      <c r="E89">
        <v>1400</v>
      </c>
      <c r="F89" t="b">
        <v>0</v>
      </c>
      <c r="G89" t="b">
        <v>0</v>
      </c>
    </row>
    <row r="90" spans="1:7" x14ac:dyDescent="0.25">
      <c r="A90" t="s">
        <v>114</v>
      </c>
      <c r="B90" t="s">
        <v>109</v>
      </c>
      <c r="C90">
        <v>6</v>
      </c>
      <c r="D90">
        <v>3850</v>
      </c>
      <c r="E90">
        <v>1450</v>
      </c>
      <c r="F90" t="b">
        <v>0</v>
      </c>
      <c r="G90" t="b">
        <v>0</v>
      </c>
    </row>
    <row r="91" spans="1:7" x14ac:dyDescent="0.25">
      <c r="A91" t="s">
        <v>115</v>
      </c>
      <c r="B91" t="s">
        <v>116</v>
      </c>
      <c r="C91">
        <v>1</v>
      </c>
      <c r="D91">
        <v>5500</v>
      </c>
      <c r="E91">
        <v>1000</v>
      </c>
      <c r="F91" t="b">
        <v>0</v>
      </c>
      <c r="G91" t="b">
        <v>0</v>
      </c>
    </row>
    <row r="92" spans="1:7" x14ac:dyDescent="0.25">
      <c r="A92" t="s">
        <v>117</v>
      </c>
      <c r="B92" t="s">
        <v>116</v>
      </c>
      <c r="C92">
        <v>2</v>
      </c>
      <c r="D92">
        <v>5200</v>
      </c>
      <c r="E92">
        <v>1100</v>
      </c>
      <c r="F92" t="b">
        <v>0</v>
      </c>
      <c r="G92" t="b">
        <v>0</v>
      </c>
    </row>
    <row r="93" spans="1:7" x14ac:dyDescent="0.25">
      <c r="A93" t="s">
        <v>118</v>
      </c>
      <c r="B93" t="s">
        <v>116</v>
      </c>
      <c r="C93">
        <v>3</v>
      </c>
      <c r="D93">
        <v>4900</v>
      </c>
      <c r="E93">
        <v>1200</v>
      </c>
      <c r="F93" t="b">
        <v>0</v>
      </c>
      <c r="G93" t="b">
        <v>0</v>
      </c>
    </row>
    <row r="94" spans="1:7" x14ac:dyDescent="0.25">
      <c r="A94" t="s">
        <v>119</v>
      </c>
      <c r="B94" t="s">
        <v>116</v>
      </c>
      <c r="C94">
        <v>4</v>
      </c>
      <c r="D94">
        <v>4600</v>
      </c>
      <c r="E94">
        <v>1300</v>
      </c>
      <c r="F94" t="b">
        <v>0</v>
      </c>
      <c r="G94" t="b">
        <v>0</v>
      </c>
    </row>
    <row r="95" spans="1:7" x14ac:dyDescent="0.25">
      <c r="A95" t="s">
        <v>120</v>
      </c>
      <c r="B95" t="s">
        <v>116</v>
      </c>
      <c r="C95">
        <v>5</v>
      </c>
      <c r="D95">
        <v>4300</v>
      </c>
      <c r="E95">
        <v>1400</v>
      </c>
      <c r="F95" t="b">
        <v>0</v>
      </c>
      <c r="G95" t="b">
        <v>0</v>
      </c>
    </row>
    <row r="96" spans="1:7" x14ac:dyDescent="0.25">
      <c r="A96" t="s">
        <v>121</v>
      </c>
      <c r="B96" t="s">
        <v>116</v>
      </c>
      <c r="C96">
        <v>6</v>
      </c>
      <c r="D96">
        <v>4000</v>
      </c>
      <c r="E96">
        <v>1500</v>
      </c>
      <c r="F96" t="b">
        <v>0</v>
      </c>
      <c r="G96" t="b">
        <v>0</v>
      </c>
    </row>
    <row r="97" spans="1:7" x14ac:dyDescent="0.25">
      <c r="A97" t="s">
        <v>122</v>
      </c>
      <c r="B97" t="s">
        <v>123</v>
      </c>
      <c r="C97">
        <v>1</v>
      </c>
      <c r="D97">
        <v>5500</v>
      </c>
      <c r="E97">
        <v>1100</v>
      </c>
      <c r="F97" t="b">
        <v>0</v>
      </c>
      <c r="G97" t="b">
        <v>0</v>
      </c>
    </row>
    <row r="98" spans="1:7" x14ac:dyDescent="0.25">
      <c r="A98" t="s">
        <v>124</v>
      </c>
      <c r="B98" t="s">
        <v>123</v>
      </c>
      <c r="C98">
        <v>2</v>
      </c>
      <c r="D98">
        <v>5200</v>
      </c>
      <c r="E98">
        <v>1200</v>
      </c>
      <c r="F98" t="b">
        <v>0</v>
      </c>
      <c r="G98" t="b">
        <v>0</v>
      </c>
    </row>
    <row r="99" spans="1:7" x14ac:dyDescent="0.25">
      <c r="A99" t="s">
        <v>125</v>
      </c>
      <c r="B99" t="s">
        <v>126</v>
      </c>
      <c r="C99">
        <v>1</v>
      </c>
      <c r="D99">
        <v>5500</v>
      </c>
      <c r="E99">
        <v>1100</v>
      </c>
      <c r="F99" t="b">
        <v>0</v>
      </c>
      <c r="G99" t="b">
        <v>0</v>
      </c>
    </row>
    <row r="100" spans="1:7" x14ac:dyDescent="0.25">
      <c r="A100" t="s">
        <v>127</v>
      </c>
      <c r="B100" t="s">
        <v>126</v>
      </c>
      <c r="C100">
        <v>2</v>
      </c>
      <c r="D100">
        <v>5200</v>
      </c>
      <c r="E100">
        <v>1200</v>
      </c>
      <c r="F100" t="b">
        <v>0</v>
      </c>
      <c r="G100" t="b">
        <v>0</v>
      </c>
    </row>
    <row r="101" spans="1:7" x14ac:dyDescent="0.25">
      <c r="A101" t="s">
        <v>128</v>
      </c>
      <c r="B101" t="s">
        <v>126</v>
      </c>
      <c r="C101">
        <v>3</v>
      </c>
      <c r="D101">
        <v>4900</v>
      </c>
      <c r="E101">
        <v>1300</v>
      </c>
      <c r="F101" t="b">
        <v>0</v>
      </c>
      <c r="G101" t="b">
        <v>0</v>
      </c>
    </row>
    <row r="102" spans="1:7" x14ac:dyDescent="0.25">
      <c r="A102" t="s">
        <v>129</v>
      </c>
      <c r="B102" t="s">
        <v>126</v>
      </c>
      <c r="C102">
        <v>4</v>
      </c>
      <c r="D102">
        <v>4600</v>
      </c>
      <c r="F102" t="b">
        <v>1</v>
      </c>
      <c r="G102" t="b">
        <v>1</v>
      </c>
    </row>
    <row r="103" spans="1:7" x14ac:dyDescent="0.25">
      <c r="A103" t="s">
        <v>130</v>
      </c>
      <c r="B103" t="s">
        <v>131</v>
      </c>
      <c r="C103">
        <v>1</v>
      </c>
      <c r="D103">
        <v>5500</v>
      </c>
      <c r="E103">
        <v>1100</v>
      </c>
      <c r="F103" t="b">
        <v>0</v>
      </c>
      <c r="G103" t="b">
        <v>0</v>
      </c>
    </row>
    <row r="104" spans="1:7" x14ac:dyDescent="0.25">
      <c r="A104" t="s">
        <v>132</v>
      </c>
      <c r="B104" t="s">
        <v>133</v>
      </c>
      <c r="C104">
        <v>1</v>
      </c>
      <c r="D104">
        <v>5500</v>
      </c>
      <c r="E104">
        <v>1000</v>
      </c>
      <c r="F104" t="b">
        <v>0</v>
      </c>
      <c r="G104" t="b">
        <v>0</v>
      </c>
    </row>
    <row r="105" spans="1:7" x14ac:dyDescent="0.25">
      <c r="A105" t="s">
        <v>134</v>
      </c>
      <c r="B105" t="s">
        <v>135</v>
      </c>
      <c r="C105">
        <v>1</v>
      </c>
      <c r="D105">
        <v>5500</v>
      </c>
      <c r="E105">
        <v>1000</v>
      </c>
      <c r="F105" t="b">
        <v>0</v>
      </c>
      <c r="G105" t="b">
        <v>0</v>
      </c>
    </row>
    <row r="106" spans="1:7" x14ac:dyDescent="0.25">
      <c r="A106" t="s">
        <v>136</v>
      </c>
      <c r="B106" t="s">
        <v>137</v>
      </c>
      <c r="C106">
        <v>1</v>
      </c>
      <c r="D106">
        <v>5500</v>
      </c>
      <c r="E106">
        <v>1000</v>
      </c>
      <c r="F106" t="b">
        <v>0</v>
      </c>
      <c r="G106" t="b">
        <v>0</v>
      </c>
    </row>
    <row r="107" spans="1:7" x14ac:dyDescent="0.25">
      <c r="A107" t="s">
        <v>138</v>
      </c>
      <c r="B107" t="s">
        <v>137</v>
      </c>
      <c r="C107">
        <v>2</v>
      </c>
      <c r="D107">
        <v>5200</v>
      </c>
      <c r="E107">
        <v>1100</v>
      </c>
      <c r="F107" t="b">
        <v>0</v>
      </c>
      <c r="G107" t="b">
        <v>0</v>
      </c>
    </row>
    <row r="108" spans="1:7" x14ac:dyDescent="0.25">
      <c r="A108" t="s">
        <v>139</v>
      </c>
      <c r="B108" t="s">
        <v>137</v>
      </c>
      <c r="C108">
        <v>3</v>
      </c>
      <c r="D108">
        <v>4950</v>
      </c>
      <c r="E108">
        <v>1200</v>
      </c>
      <c r="F108" t="b">
        <v>0</v>
      </c>
      <c r="G108" t="b">
        <v>0</v>
      </c>
    </row>
    <row r="109" spans="1:7" x14ac:dyDescent="0.25">
      <c r="A109" t="s">
        <v>140</v>
      </c>
      <c r="B109" t="s">
        <v>137</v>
      </c>
      <c r="C109">
        <v>4</v>
      </c>
      <c r="D109">
        <v>4700</v>
      </c>
      <c r="E109">
        <v>1300</v>
      </c>
      <c r="F109" t="b">
        <v>0</v>
      </c>
      <c r="G109" t="b">
        <v>0</v>
      </c>
    </row>
    <row r="110" spans="1:7" x14ac:dyDescent="0.25">
      <c r="A110" t="s">
        <v>141</v>
      </c>
      <c r="B110" t="s">
        <v>137</v>
      </c>
      <c r="C110">
        <v>5</v>
      </c>
      <c r="D110">
        <v>4450</v>
      </c>
      <c r="E110">
        <v>1400</v>
      </c>
      <c r="F110" t="b">
        <v>0</v>
      </c>
      <c r="G110" t="b">
        <v>0</v>
      </c>
    </row>
    <row r="111" spans="1:7" x14ac:dyDescent="0.25">
      <c r="A111" t="s">
        <v>142</v>
      </c>
      <c r="B111" t="s">
        <v>137</v>
      </c>
      <c r="C111">
        <v>6</v>
      </c>
      <c r="D111">
        <v>4200</v>
      </c>
      <c r="E111">
        <v>1500</v>
      </c>
      <c r="F111" t="b">
        <v>0</v>
      </c>
      <c r="G111" t="b">
        <v>0</v>
      </c>
    </row>
    <row r="112" spans="1:7" x14ac:dyDescent="0.25">
      <c r="A112" t="s">
        <v>143</v>
      </c>
      <c r="B112" t="s">
        <v>144</v>
      </c>
      <c r="C112">
        <v>1</v>
      </c>
      <c r="D112">
        <v>5500</v>
      </c>
      <c r="E112">
        <v>1000</v>
      </c>
      <c r="F112" t="b">
        <v>0</v>
      </c>
      <c r="G112" t="b">
        <v>0</v>
      </c>
    </row>
    <row r="113" spans="1:7" x14ac:dyDescent="0.25">
      <c r="A113" t="s">
        <v>145</v>
      </c>
      <c r="B113" t="s">
        <v>144</v>
      </c>
      <c r="C113">
        <v>2</v>
      </c>
      <c r="D113">
        <v>5200</v>
      </c>
      <c r="E113">
        <v>1100</v>
      </c>
      <c r="F113" t="b">
        <v>0</v>
      </c>
      <c r="G113" t="b">
        <v>0</v>
      </c>
    </row>
    <row r="114" spans="1:7" x14ac:dyDescent="0.25">
      <c r="A114" t="s">
        <v>146</v>
      </c>
      <c r="B114" t="s">
        <v>144</v>
      </c>
      <c r="C114">
        <v>3</v>
      </c>
      <c r="D114">
        <v>4950</v>
      </c>
      <c r="E114">
        <v>1200</v>
      </c>
      <c r="F114" t="b">
        <v>0</v>
      </c>
      <c r="G114" t="b">
        <v>0</v>
      </c>
    </row>
    <row r="115" spans="1:7" x14ac:dyDescent="0.25">
      <c r="A115" t="s">
        <v>147</v>
      </c>
      <c r="B115" t="s">
        <v>144</v>
      </c>
      <c r="C115">
        <v>4</v>
      </c>
      <c r="D115">
        <v>4700</v>
      </c>
      <c r="E115">
        <v>1300</v>
      </c>
      <c r="F115" t="b">
        <v>0</v>
      </c>
      <c r="G115" t="b">
        <v>0</v>
      </c>
    </row>
    <row r="116" spans="1:7" x14ac:dyDescent="0.25">
      <c r="A116" t="s">
        <v>148</v>
      </c>
      <c r="B116" t="s">
        <v>144</v>
      </c>
      <c r="C116">
        <v>5</v>
      </c>
      <c r="D116">
        <v>4450</v>
      </c>
      <c r="E116">
        <v>1400</v>
      </c>
      <c r="F116" t="b">
        <v>0</v>
      </c>
      <c r="G116" t="b">
        <v>0</v>
      </c>
    </row>
    <row r="117" spans="1:7" x14ac:dyDescent="0.25">
      <c r="A117" t="s">
        <v>149</v>
      </c>
      <c r="B117" t="s">
        <v>144</v>
      </c>
      <c r="C117">
        <v>6</v>
      </c>
      <c r="D117">
        <v>4200</v>
      </c>
      <c r="E117">
        <v>1500</v>
      </c>
      <c r="F117" t="b">
        <v>0</v>
      </c>
      <c r="G117" t="b">
        <v>0</v>
      </c>
    </row>
    <row r="118" spans="1:7" x14ac:dyDescent="0.25">
      <c r="A118" t="s">
        <v>150</v>
      </c>
      <c r="B118" t="s">
        <v>151</v>
      </c>
      <c r="C118">
        <v>1</v>
      </c>
      <c r="D118">
        <v>5500</v>
      </c>
      <c r="E118">
        <v>3500</v>
      </c>
      <c r="F118" t="b">
        <v>0</v>
      </c>
      <c r="G118" t="b">
        <v>0</v>
      </c>
    </row>
    <row r="119" spans="1:7" x14ac:dyDescent="0.25">
      <c r="A119" t="s">
        <v>152</v>
      </c>
      <c r="B119" t="s">
        <v>151</v>
      </c>
      <c r="C119">
        <v>2</v>
      </c>
      <c r="D119">
        <v>5250</v>
      </c>
      <c r="E119">
        <v>3700</v>
      </c>
      <c r="F119" t="b">
        <v>0</v>
      </c>
      <c r="G119" t="b">
        <v>0</v>
      </c>
    </row>
    <row r="120" spans="1:7" x14ac:dyDescent="0.25">
      <c r="A120" t="s">
        <v>153</v>
      </c>
      <c r="B120" t="s">
        <v>151</v>
      </c>
      <c r="C120">
        <v>3</v>
      </c>
      <c r="D120">
        <v>5050</v>
      </c>
      <c r="E120">
        <v>4100</v>
      </c>
      <c r="F120" t="b">
        <v>0</v>
      </c>
      <c r="G120" t="b">
        <v>0</v>
      </c>
    </row>
    <row r="121" spans="1:7" x14ac:dyDescent="0.25">
      <c r="A121" t="s">
        <v>154</v>
      </c>
      <c r="B121" t="s">
        <v>151</v>
      </c>
      <c r="C121">
        <v>4</v>
      </c>
      <c r="D121">
        <v>4850</v>
      </c>
      <c r="E121">
        <v>4200</v>
      </c>
      <c r="F121" t="b">
        <v>0</v>
      </c>
      <c r="G121" t="b">
        <v>0</v>
      </c>
    </row>
    <row r="122" spans="1:7" x14ac:dyDescent="0.25">
      <c r="A122" t="s">
        <v>155</v>
      </c>
      <c r="B122" t="s">
        <v>151</v>
      </c>
      <c r="C122">
        <v>5</v>
      </c>
      <c r="D122">
        <v>4730</v>
      </c>
      <c r="E122">
        <v>4400</v>
      </c>
      <c r="F122" t="b">
        <v>0</v>
      </c>
      <c r="G122" t="b">
        <v>0</v>
      </c>
    </row>
    <row r="123" spans="1:7" x14ac:dyDescent="0.25">
      <c r="A123" t="s">
        <v>156</v>
      </c>
      <c r="B123" t="s">
        <v>151</v>
      </c>
      <c r="C123">
        <v>6</v>
      </c>
      <c r="D123">
        <v>4610</v>
      </c>
      <c r="F123" t="b">
        <v>1</v>
      </c>
      <c r="G123" t="b">
        <v>1</v>
      </c>
    </row>
    <row r="124" spans="1:7" x14ac:dyDescent="0.25">
      <c r="A124" t="s">
        <v>157</v>
      </c>
      <c r="B124" t="s">
        <v>158</v>
      </c>
      <c r="C124">
        <v>1</v>
      </c>
      <c r="D124">
        <v>5500</v>
      </c>
      <c r="E124">
        <v>1000</v>
      </c>
      <c r="F124" t="b">
        <v>0</v>
      </c>
      <c r="G124" t="b">
        <v>0</v>
      </c>
    </row>
    <row r="125" spans="1:7" x14ac:dyDescent="0.25">
      <c r="A125" t="s">
        <v>159</v>
      </c>
      <c r="B125" t="s">
        <v>158</v>
      </c>
      <c r="C125">
        <v>2</v>
      </c>
      <c r="D125">
        <v>5200</v>
      </c>
      <c r="E125">
        <v>4000</v>
      </c>
      <c r="F125" t="b">
        <v>0</v>
      </c>
      <c r="G125" t="b">
        <v>0</v>
      </c>
    </row>
    <row r="126" spans="1:7" x14ac:dyDescent="0.25">
      <c r="A126" t="s">
        <v>160</v>
      </c>
      <c r="B126" t="s">
        <v>158</v>
      </c>
      <c r="C126">
        <v>3</v>
      </c>
      <c r="D126">
        <v>5000</v>
      </c>
      <c r="E126">
        <v>4250</v>
      </c>
      <c r="F126" t="b">
        <v>0</v>
      </c>
      <c r="G126" t="b">
        <v>0</v>
      </c>
    </row>
    <row r="127" spans="1:7" x14ac:dyDescent="0.25">
      <c r="A127" t="s">
        <v>161</v>
      </c>
      <c r="B127" t="s">
        <v>158</v>
      </c>
      <c r="C127">
        <v>4</v>
      </c>
      <c r="D127">
        <v>4800</v>
      </c>
      <c r="E127">
        <v>4000</v>
      </c>
      <c r="F127" t="b">
        <v>0</v>
      </c>
      <c r="G127" t="b">
        <v>0</v>
      </c>
    </row>
    <row r="128" spans="1:7" x14ac:dyDescent="0.25">
      <c r="A128" t="s">
        <v>162</v>
      </c>
      <c r="B128" t="s">
        <v>158</v>
      </c>
      <c r="C128">
        <v>5</v>
      </c>
      <c r="D128">
        <v>4680</v>
      </c>
      <c r="E128">
        <v>4500</v>
      </c>
      <c r="F128" t="b">
        <v>0</v>
      </c>
      <c r="G128" t="b">
        <v>0</v>
      </c>
    </row>
    <row r="129" spans="1:7" x14ac:dyDescent="0.25">
      <c r="A129" t="s">
        <v>163</v>
      </c>
      <c r="B129" t="s">
        <v>158</v>
      </c>
      <c r="C129">
        <v>6</v>
      </c>
      <c r="D129">
        <v>4560</v>
      </c>
      <c r="E129">
        <v>4500</v>
      </c>
      <c r="F129" t="b">
        <v>0</v>
      </c>
      <c r="G129" t="b">
        <v>0</v>
      </c>
    </row>
    <row r="130" spans="1:7" x14ac:dyDescent="0.25">
      <c r="A130" t="s">
        <v>164</v>
      </c>
      <c r="B130" t="s">
        <v>158</v>
      </c>
      <c r="C130">
        <v>6</v>
      </c>
      <c r="D130">
        <v>4440</v>
      </c>
      <c r="F130" t="b">
        <v>1</v>
      </c>
      <c r="G130" t="b">
        <v>1</v>
      </c>
    </row>
    <row r="131" spans="1:7" x14ac:dyDescent="0.25">
      <c r="A131" t="s">
        <v>165</v>
      </c>
      <c r="B131" t="s">
        <v>166</v>
      </c>
      <c r="C131">
        <v>1</v>
      </c>
      <c r="D131">
        <v>5500</v>
      </c>
      <c r="E131">
        <v>1000</v>
      </c>
      <c r="F131" t="b">
        <v>0</v>
      </c>
      <c r="G131" t="b">
        <v>0</v>
      </c>
    </row>
    <row r="132" spans="1:7" x14ac:dyDescent="0.25">
      <c r="A132" t="s">
        <v>167</v>
      </c>
      <c r="B132" t="s">
        <v>166</v>
      </c>
      <c r="C132">
        <v>2</v>
      </c>
      <c r="D132">
        <v>5200</v>
      </c>
      <c r="E132">
        <v>1010</v>
      </c>
      <c r="F132" t="b">
        <v>0</v>
      </c>
      <c r="G132" t="b">
        <v>0</v>
      </c>
    </row>
    <row r="133" spans="1:7" x14ac:dyDescent="0.25">
      <c r="A133" t="s">
        <v>168</v>
      </c>
      <c r="B133" t="s">
        <v>166</v>
      </c>
      <c r="C133">
        <v>3</v>
      </c>
      <c r="D133">
        <v>4950</v>
      </c>
      <c r="E133">
        <v>1100</v>
      </c>
      <c r="F133" t="b">
        <v>0</v>
      </c>
      <c r="G133" t="b">
        <v>0</v>
      </c>
    </row>
    <row r="134" spans="1:7" x14ac:dyDescent="0.25">
      <c r="A134" t="s">
        <v>169</v>
      </c>
      <c r="B134" t="s">
        <v>166</v>
      </c>
      <c r="C134">
        <v>4</v>
      </c>
      <c r="D134">
        <v>4750</v>
      </c>
      <c r="E134">
        <v>1200</v>
      </c>
      <c r="F134" t="b">
        <v>0</v>
      </c>
      <c r="G134" t="b">
        <v>0</v>
      </c>
    </row>
    <row r="135" spans="1:7" x14ac:dyDescent="0.25">
      <c r="A135" t="s">
        <v>170</v>
      </c>
      <c r="B135" t="s">
        <v>166</v>
      </c>
      <c r="C135">
        <v>5</v>
      </c>
      <c r="D135">
        <v>4500</v>
      </c>
      <c r="E135">
        <v>1300</v>
      </c>
      <c r="F135" t="b">
        <v>0</v>
      </c>
      <c r="G135" t="b">
        <v>0</v>
      </c>
    </row>
    <row r="136" spans="1:7" x14ac:dyDescent="0.25">
      <c r="A136" t="s">
        <v>171</v>
      </c>
      <c r="B136" t="s">
        <v>166</v>
      </c>
      <c r="C136">
        <v>6</v>
      </c>
      <c r="D136">
        <v>4260</v>
      </c>
      <c r="E136">
        <v>1400</v>
      </c>
      <c r="F136" t="b">
        <v>0</v>
      </c>
      <c r="G136" t="b">
        <v>0</v>
      </c>
    </row>
    <row r="137" spans="1:7" x14ac:dyDescent="0.25">
      <c r="A137" t="s">
        <v>172</v>
      </c>
      <c r="B137" t="s">
        <v>166</v>
      </c>
      <c r="C137">
        <v>6</v>
      </c>
      <c r="D137">
        <v>4010</v>
      </c>
      <c r="F137" t="b">
        <v>0</v>
      </c>
      <c r="G13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workbookViewId="0">
      <selection activeCell="H3" sqref="H3"/>
    </sheetView>
  </sheetViews>
  <sheetFormatPr baseColWidth="10" defaultColWidth="9.140625" defaultRowHeight="15" x14ac:dyDescent="0.25"/>
  <cols>
    <col min="1" max="7" width="18" customWidth="1"/>
    <col min="8" max="8" width="31.42578125" customWidth="1"/>
  </cols>
  <sheetData>
    <row r="1" spans="1:8" x14ac:dyDescent="0.25">
      <c r="H1" t="s">
        <v>173</v>
      </c>
    </row>
    <row r="2" spans="1:8" x14ac:dyDescent="0.25">
      <c r="A2" t="s">
        <v>21</v>
      </c>
      <c r="B2">
        <v>3000</v>
      </c>
      <c r="C2">
        <v>2000</v>
      </c>
      <c r="D2">
        <v>1500</v>
      </c>
      <c r="E2">
        <v>2800</v>
      </c>
      <c r="F2">
        <v>2600</v>
      </c>
      <c r="H2" t="b" cm="1">
        <f t="array" ref="H2">'2025-11-08'!H2=_xlfn.XLOOKUP(1, (Daten!$B:$B=$A2)*(Daten!$F:$F=TRUE), IF(ISBLANK(Daten!$E:$E), Daten!$D:$D, Daten!$E:$E), "")</f>
        <v>0</v>
      </c>
    </row>
    <row r="3" spans="1:8" x14ac:dyDescent="0.25">
      <c r="A3" t="s">
        <v>28</v>
      </c>
      <c r="B3">
        <v>2400</v>
      </c>
      <c r="C3">
        <v>2200</v>
      </c>
      <c r="D3">
        <v>2100</v>
      </c>
      <c r="E3">
        <v>3600</v>
      </c>
      <c r="F3">
        <v>2400</v>
      </c>
      <c r="G3">
        <v>2100</v>
      </c>
      <c r="H3" t="str">
        <f t="array" ref="H3">_xlfn.XLOOKUP(1, (Daten!$B:$B=$A3)*(Daten!$F:$F=TRUE), IF(ISBLANK(Daten!$E:$E), Daten!$D:$D, Daten!$E:$E), "")</f>
        <v/>
      </c>
    </row>
    <row r="4" spans="1:8" x14ac:dyDescent="0.25">
      <c r="A4" t="s">
        <v>35</v>
      </c>
      <c r="B4">
        <v>2400</v>
      </c>
      <c r="C4">
        <v>5000</v>
      </c>
      <c r="H4">
        <f t="array" ref="H4">_xlfn.XLOOKUP(1, (Daten!$B:$B=$A4)*(Daten!$F:$F=TRUE), IF(ISBLANK(Daten!$E:$E), Daten!$D:$D, Daten!$E:$E), "")</f>
        <v>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workbookViewId="0">
      <selection activeCell="F18" sqref="F18"/>
    </sheetView>
  </sheetViews>
  <sheetFormatPr baseColWidth="10" defaultColWidth="9.140625" defaultRowHeight="15" x14ac:dyDescent="0.25"/>
  <cols>
    <col min="1" max="7" width="18" customWidth="1"/>
    <col min="8" max="8" width="50.85546875" customWidth="1"/>
  </cols>
  <sheetData>
    <row r="1" spans="1:8" x14ac:dyDescent="0.25">
      <c r="A1" t="s">
        <v>1</v>
      </c>
      <c r="B1" t="s">
        <v>174</v>
      </c>
      <c r="C1" t="s">
        <v>175</v>
      </c>
      <c r="D1" t="s">
        <v>176</v>
      </c>
      <c r="E1" t="s">
        <v>177</v>
      </c>
      <c r="F1" t="s">
        <v>178</v>
      </c>
      <c r="G1" t="s">
        <v>179</v>
      </c>
      <c r="H1" t="s">
        <v>180</v>
      </c>
    </row>
    <row r="2" spans="1:8" x14ac:dyDescent="0.25">
      <c r="A2" t="s">
        <v>38</v>
      </c>
      <c r="B2">
        <v>2500</v>
      </c>
      <c r="C2">
        <v>2200</v>
      </c>
      <c r="D2">
        <v>1600</v>
      </c>
      <c r="E2">
        <v>4750</v>
      </c>
      <c r="F2">
        <v>4300</v>
      </c>
      <c r="G2">
        <v>100</v>
      </c>
      <c r="H2" t="str">
        <f t="array" ref="H2">_xlfn.XLOOKUP(1, (Daten!$B:$B=$A2)*(Daten!$F:$F=TRUE), IF(ISBLANK(Daten!$E:$E), Daten!$D:$D, Daten!$E:$E), "")</f>
        <v/>
      </c>
    </row>
    <row r="3" spans="1:8" x14ac:dyDescent="0.25">
      <c r="A3" t="s">
        <v>45</v>
      </c>
      <c r="B3">
        <v>100</v>
      </c>
      <c r="C3">
        <v>1500</v>
      </c>
      <c r="D3">
        <v>1300</v>
      </c>
      <c r="E3">
        <v>1250</v>
      </c>
      <c r="F3">
        <v>4850</v>
      </c>
      <c r="H3">
        <f t="array" ref="H3">_xlfn.XLOOKUP(1, (Daten!$B:$B=$A3)*(Daten!$F:$F=TRUE), IF(ISBLANK(Daten!$E:$E), Daten!$D:$D, Daten!$E:$E), "")</f>
        <v>4850</v>
      </c>
    </row>
    <row r="4" spans="1:8" x14ac:dyDescent="0.25">
      <c r="A4" t="s">
        <v>51</v>
      </c>
      <c r="B4">
        <v>3800</v>
      </c>
      <c r="C4">
        <v>4000</v>
      </c>
      <c r="D4">
        <v>4300</v>
      </c>
      <c r="E4">
        <v>4500</v>
      </c>
    </row>
    <row r="5" spans="1:8" x14ac:dyDescent="0.25">
      <c r="A5" t="s">
        <v>57</v>
      </c>
      <c r="B5">
        <v>4500</v>
      </c>
      <c r="C5">
        <v>4600</v>
      </c>
      <c r="D5">
        <v>4800</v>
      </c>
    </row>
    <row r="6" spans="1:8" x14ac:dyDescent="0.25">
      <c r="A6" t="s">
        <v>61</v>
      </c>
      <c r="B6">
        <v>4000</v>
      </c>
      <c r="C6">
        <v>4135</v>
      </c>
      <c r="D6">
        <v>4200</v>
      </c>
      <c r="E6">
        <v>4250</v>
      </c>
      <c r="F6">
        <v>4350</v>
      </c>
      <c r="G6">
        <v>4400</v>
      </c>
    </row>
    <row r="7" spans="1:8" x14ac:dyDescent="0.25">
      <c r="A7" t="s">
        <v>68</v>
      </c>
      <c r="B7">
        <v>4000</v>
      </c>
      <c r="C7">
        <v>4800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workbookViewId="0">
      <selection activeCell="K4" sqref="K4"/>
    </sheetView>
  </sheetViews>
  <sheetFormatPr baseColWidth="10" defaultColWidth="9.140625" defaultRowHeight="15" x14ac:dyDescent="0.25"/>
  <cols>
    <col min="1" max="7" width="18" customWidth="1"/>
  </cols>
  <sheetData>
    <row r="1" spans="1:8" x14ac:dyDescent="0.25">
      <c r="A1" t="s">
        <v>1</v>
      </c>
      <c r="B1" t="s">
        <v>174</v>
      </c>
      <c r="C1" t="s">
        <v>175</v>
      </c>
      <c r="D1" t="s">
        <v>176</v>
      </c>
      <c r="E1" t="s">
        <v>177</v>
      </c>
      <c r="F1" t="s">
        <v>178</v>
      </c>
      <c r="G1" t="s">
        <v>179</v>
      </c>
    </row>
    <row r="2" spans="1:8" x14ac:dyDescent="0.25">
      <c r="A2" t="s">
        <v>71</v>
      </c>
      <c r="B2">
        <v>4000</v>
      </c>
      <c r="H2" t="str" cm="1">
        <f t="array" ref="H2">_xlfn.XLOOKUP(1, (Daten!$B:$B=$A2)*(Daten!$F:$F=TRUE), IF(ISBLANK(Daten!$E:$E), Daten!$D:$D, Daten!$E:$E), "")</f>
        <v/>
      </c>
    </row>
    <row r="3" spans="1:8" x14ac:dyDescent="0.25">
      <c r="A3" t="s">
        <v>73</v>
      </c>
      <c r="B3">
        <v>4800</v>
      </c>
      <c r="H3" cm="1">
        <f t="array" ref="H3">_xlfn.XLOOKUP(1, (Daten!$B:$B=$A3)*(Daten!$F:$F=TRUE), IF(ISBLANK(Daten!$E:$E), Daten!$D:$D, Daten!$E:$E), "")</f>
        <v>4800</v>
      </c>
    </row>
    <row r="4" spans="1:8" x14ac:dyDescent="0.25">
      <c r="A4" t="s">
        <v>75</v>
      </c>
      <c r="B4">
        <v>3800</v>
      </c>
      <c r="C4">
        <v>4000</v>
      </c>
      <c r="D4">
        <v>4010</v>
      </c>
      <c r="E4">
        <v>4700</v>
      </c>
      <c r="F4">
        <v>4705</v>
      </c>
      <c r="H4" cm="1">
        <f t="array" ref="H4">_xlfn.XLOOKUP(1, (Daten!$B:$B=$A4)*(Daten!$F:$F=TRUE), IF(ISBLANK(Daten!$E:$E), Daten!$D:$D, Daten!$E:$E), "")</f>
        <v>4705</v>
      </c>
    </row>
    <row r="5" spans="1:8" x14ac:dyDescent="0.25">
      <c r="A5" t="s">
        <v>81</v>
      </c>
      <c r="B5">
        <v>3000</v>
      </c>
      <c r="C5">
        <v>3500</v>
      </c>
      <c r="D5">
        <v>3600</v>
      </c>
      <c r="E5">
        <v>3700</v>
      </c>
      <c r="F5">
        <v>3800</v>
      </c>
      <c r="H5" cm="1">
        <f t="array" ref="H5">_xlfn.XLOOKUP(1, (Daten!$B:$B=$A5)*(Daten!$F:$F=TRUE), IF(ISBLANK(Daten!$E:$E), Daten!$D:$D, Daten!$E:$E), "")</f>
        <v>4432.3599999999997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"/>
  <sheetViews>
    <sheetView workbookViewId="0">
      <selection activeCell="L6" sqref="L6"/>
    </sheetView>
  </sheetViews>
  <sheetFormatPr baseColWidth="10" defaultColWidth="9.140625" defaultRowHeight="15" x14ac:dyDescent="0.25"/>
  <cols>
    <col min="1" max="7" width="18" customWidth="1"/>
    <col min="8" max="8" width="25.28515625" customWidth="1"/>
  </cols>
  <sheetData>
    <row r="1" spans="1:8" x14ac:dyDescent="0.25">
      <c r="A1" t="s">
        <v>1</v>
      </c>
      <c r="B1" t="s">
        <v>174</v>
      </c>
      <c r="C1" t="s">
        <v>175</v>
      </c>
      <c r="D1" t="s">
        <v>176</v>
      </c>
      <c r="E1" t="s">
        <v>177</v>
      </c>
      <c r="F1" t="s">
        <v>178</v>
      </c>
      <c r="G1" t="s">
        <v>179</v>
      </c>
    </row>
    <row r="2" spans="1:8" x14ac:dyDescent="0.25">
      <c r="A2" t="s">
        <v>88</v>
      </c>
      <c r="B2">
        <v>1000</v>
      </c>
      <c r="C2">
        <v>1500</v>
      </c>
      <c r="D2">
        <v>1600</v>
      </c>
      <c r="E2">
        <v>1700</v>
      </c>
      <c r="F2">
        <v>1800</v>
      </c>
      <c r="G2">
        <v>1900</v>
      </c>
      <c r="H2" t="str" cm="1">
        <f t="array" ref="H2">_xlfn.XLOOKUP(1, (Daten!$B:$B=$A2)*(Daten!$F:$F=TRUE), IF(ISBLANK(Daten!$E:$E), Daten!$D:$D, Daten!$E:$E), "")</f>
        <v/>
      </c>
    </row>
    <row r="3" spans="1:8" x14ac:dyDescent="0.25">
      <c r="A3" t="s">
        <v>95</v>
      </c>
      <c r="B3">
        <v>1000</v>
      </c>
      <c r="C3">
        <v>1100</v>
      </c>
      <c r="D3">
        <v>1200</v>
      </c>
      <c r="E3">
        <v>1300</v>
      </c>
      <c r="F3">
        <v>1400</v>
      </c>
      <c r="G3">
        <v>1500</v>
      </c>
      <c r="H3" t="str" cm="1">
        <f t="array" ref="H3">_xlfn.XLOOKUP(1, (Daten!$B:$B=$A3)*(Daten!$F:$F=TRUE), IF(ISBLANK(Daten!$E:$E), Daten!$D:$D, Daten!$E:$E), "")</f>
        <v/>
      </c>
    </row>
    <row r="4" spans="1:8" x14ac:dyDescent="0.25">
      <c r="A4" t="s">
        <v>102</v>
      </c>
      <c r="B4">
        <v>1000</v>
      </c>
      <c r="C4">
        <v>1100</v>
      </c>
      <c r="D4">
        <v>1200</v>
      </c>
      <c r="E4">
        <v>1300</v>
      </c>
      <c r="F4">
        <v>1400</v>
      </c>
      <c r="G4">
        <v>1500</v>
      </c>
      <c r="H4" t="str" cm="1">
        <f t="array" ref="H4">_xlfn.XLOOKUP(1, (Daten!$B:$B=$A4)*(Daten!$F:$F=TRUE), IF(ISBLANK(Daten!$E:$E), Daten!$D:$D, Daten!$E:$E), "")</f>
        <v/>
      </c>
    </row>
    <row r="5" spans="1:8" x14ac:dyDescent="0.25">
      <c r="A5" t="s">
        <v>109</v>
      </c>
      <c r="B5">
        <v>1000</v>
      </c>
      <c r="C5">
        <v>1100</v>
      </c>
      <c r="D5">
        <v>1200</v>
      </c>
      <c r="E5">
        <v>1300</v>
      </c>
      <c r="F5">
        <v>1400</v>
      </c>
      <c r="G5">
        <v>1450</v>
      </c>
      <c r="H5" t="str" cm="1">
        <f t="array" ref="H5">_xlfn.XLOOKUP(1, (Daten!$B:$B=$A5)*(Daten!$F:$F=TRUE), IF(ISBLANK(Daten!$E:$E), Daten!$D:$D, Daten!$E:$E), "")</f>
        <v/>
      </c>
    </row>
    <row r="6" spans="1:8" x14ac:dyDescent="0.25">
      <c r="A6" t="s">
        <v>116</v>
      </c>
      <c r="B6">
        <v>1000</v>
      </c>
      <c r="C6">
        <v>1100</v>
      </c>
      <c r="D6">
        <v>1200</v>
      </c>
      <c r="E6">
        <v>1300</v>
      </c>
      <c r="F6">
        <v>1400</v>
      </c>
      <c r="G6">
        <v>1500</v>
      </c>
      <c r="H6" t="str" cm="1">
        <f t="array" ref="H6">_xlfn.XLOOKUP(1, (Daten!$B:$B=$A6)*(Daten!$F:$F=TRUE), IF(ISBLANK(Daten!$E:$E), Daten!$D:$D, Daten!$E:$E), "")</f>
        <v/>
      </c>
    </row>
    <row r="7" spans="1:8" x14ac:dyDescent="0.25">
      <c r="A7" t="s">
        <v>123</v>
      </c>
      <c r="B7">
        <v>1100</v>
      </c>
      <c r="C7">
        <v>1200</v>
      </c>
      <c r="H7" t="str" cm="1">
        <f t="array" ref="H7">_xlfn.XLOOKUP(1, (Daten!$B:$B=$A7)*(Daten!$F:$F=TRUE), IF(ISBLANK(Daten!$E:$E), Daten!$D:$D, Daten!$E:$E), "")</f>
        <v/>
      </c>
    </row>
    <row r="8" spans="1:8" x14ac:dyDescent="0.25">
      <c r="A8" t="s">
        <v>126</v>
      </c>
      <c r="B8">
        <v>1100</v>
      </c>
      <c r="C8">
        <v>1200</v>
      </c>
      <c r="D8">
        <v>1300</v>
      </c>
      <c r="H8" cm="1">
        <f t="array" ref="H8">_xlfn.XLOOKUP(1, (Daten!$B:$B=$A8)*(Daten!$F:$F=TRUE), IF(ISBLANK(Daten!$E:$E), Daten!$D:$D, Daten!$E:$E), "")</f>
        <v>4600</v>
      </c>
    </row>
    <row r="9" spans="1:8" x14ac:dyDescent="0.25">
      <c r="A9" t="s">
        <v>131</v>
      </c>
      <c r="B9">
        <v>1100</v>
      </c>
      <c r="H9" t="str" cm="1">
        <f t="array" ref="H9">_xlfn.XLOOKUP(1, (Daten!$B:$B=$A9)*(Daten!$F:$F=TRUE), IF(ISBLANK(Daten!$E:$E), Daten!$D:$D, Daten!$E:$E), "")</f>
        <v/>
      </c>
    </row>
    <row r="10" spans="1:8" x14ac:dyDescent="0.25">
      <c r="A10" t="s">
        <v>133</v>
      </c>
      <c r="B10">
        <v>1000</v>
      </c>
      <c r="H10" t="str" cm="1">
        <f t="array" ref="H10">_xlfn.XLOOKUP(1, (Daten!$B:$B=$A10)*(Daten!$F:$F=TRUE), IF(ISBLANK(Daten!$E:$E), Daten!$D:$D, Daten!$E:$E), "")</f>
        <v/>
      </c>
    </row>
    <row r="11" spans="1:8" x14ac:dyDescent="0.25">
      <c r="A11" t="s">
        <v>135</v>
      </c>
      <c r="B11">
        <v>1000</v>
      </c>
      <c r="H11" t="str" cm="1">
        <f t="array" ref="H11">_xlfn.XLOOKUP(1, (Daten!$B:$B=$A11)*(Daten!$F:$F=TRUE), IF(ISBLANK(Daten!$E:$E), Daten!$D:$D, Daten!$E:$E), "")</f>
        <v/>
      </c>
    </row>
    <row r="12" spans="1:8" x14ac:dyDescent="0.25">
      <c r="A12" t="s">
        <v>137</v>
      </c>
      <c r="B12">
        <v>1000</v>
      </c>
      <c r="C12">
        <v>1100</v>
      </c>
      <c r="D12">
        <v>1200</v>
      </c>
      <c r="E12">
        <v>1300</v>
      </c>
      <c r="F12">
        <v>1400</v>
      </c>
      <c r="G12">
        <v>1500</v>
      </c>
      <c r="H12" t="str" cm="1">
        <f t="array" ref="H12">_xlfn.XLOOKUP(1, (Daten!$B:$B=$A12)*(Daten!$F:$F=TRUE), IF(ISBLANK(Daten!$E:$E), Daten!$D:$D, Daten!$E:$E), 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"/>
  <sheetViews>
    <sheetView workbookViewId="0"/>
  </sheetViews>
  <sheetFormatPr baseColWidth="10" defaultColWidth="9.140625" defaultRowHeight="15" x14ac:dyDescent="0.25"/>
  <cols>
    <col min="1" max="7" width="18" customWidth="1"/>
  </cols>
  <sheetData>
    <row r="1" spans="1:7" x14ac:dyDescent="0.25">
      <c r="A1" t="s">
        <v>1</v>
      </c>
      <c r="B1" t="s">
        <v>174</v>
      </c>
      <c r="C1" t="s">
        <v>175</v>
      </c>
      <c r="D1" t="s">
        <v>176</v>
      </c>
      <c r="E1" t="s">
        <v>177</v>
      </c>
      <c r="F1" t="s">
        <v>178</v>
      </c>
      <c r="G1" t="s">
        <v>179</v>
      </c>
    </row>
    <row r="2" spans="1:7" x14ac:dyDescent="0.25">
      <c r="A2" t="s">
        <v>144</v>
      </c>
      <c r="B2">
        <v>1000</v>
      </c>
      <c r="C2">
        <v>1100</v>
      </c>
      <c r="D2">
        <v>1200</v>
      </c>
      <c r="E2">
        <v>1300</v>
      </c>
      <c r="F2">
        <v>1400</v>
      </c>
      <c r="G2">
        <v>1500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"/>
  <sheetViews>
    <sheetView tabSelected="1" workbookViewId="0">
      <selection activeCell="H20" sqref="H20"/>
    </sheetView>
  </sheetViews>
  <sheetFormatPr baseColWidth="10" defaultColWidth="9.140625" defaultRowHeight="15" x14ac:dyDescent="0.25"/>
  <cols>
    <col min="1" max="7" width="18" customWidth="1"/>
    <col min="8" max="8" width="29" customWidth="1"/>
  </cols>
  <sheetData>
    <row r="1" spans="1:8" x14ac:dyDescent="0.25">
      <c r="A1" t="s">
        <v>1</v>
      </c>
      <c r="B1" t="s">
        <v>174</v>
      </c>
      <c r="C1" t="s">
        <v>175</v>
      </c>
      <c r="D1" t="s">
        <v>176</v>
      </c>
      <c r="E1" t="s">
        <v>177</v>
      </c>
      <c r="F1" t="s">
        <v>178</v>
      </c>
      <c r="G1" t="s">
        <v>179</v>
      </c>
    </row>
    <row r="2" spans="1:8" x14ac:dyDescent="0.25">
      <c r="A2" t="s">
        <v>151</v>
      </c>
      <c r="B2">
        <v>3500</v>
      </c>
      <c r="C2">
        <v>3700</v>
      </c>
      <c r="D2">
        <v>4100</v>
      </c>
      <c r="E2">
        <v>4200</v>
      </c>
      <c r="F2">
        <v>4400</v>
      </c>
      <c r="H2" cm="1">
        <f t="array" ref="H2">_xlfn.XLOOKUP(1, (Daten!$B:$B=$A2)*(Daten!$F:$F=TRUE), IF(ISBLANK(Daten!$E:$E), Daten!$D:$D, Daten!$E:$E), "")</f>
        <v>4610</v>
      </c>
    </row>
    <row r="3" spans="1:8" x14ac:dyDescent="0.25">
      <c r="A3" t="s">
        <v>158</v>
      </c>
      <c r="B3">
        <v>1000</v>
      </c>
      <c r="C3">
        <v>4000</v>
      </c>
      <c r="D3">
        <v>4250</v>
      </c>
      <c r="E3">
        <v>4000</v>
      </c>
      <c r="F3">
        <v>4500</v>
      </c>
      <c r="G3">
        <v>4500</v>
      </c>
      <c r="H3" cm="1">
        <f t="array" ref="H3">_xlfn.XLOOKUP(1, (Daten!$B:$B=$A3)*(Daten!$F:$F=TRUE), IF(ISBLANK(Daten!$E:$E), Daten!$D:$D, Daten!$E:$E), "")</f>
        <v>4440</v>
      </c>
    </row>
    <row r="4" spans="1:8" x14ac:dyDescent="0.25">
      <c r="A4" t="s">
        <v>166</v>
      </c>
      <c r="B4">
        <v>1000</v>
      </c>
      <c r="C4">
        <v>1010</v>
      </c>
      <c r="D4">
        <v>1100</v>
      </c>
      <c r="E4">
        <v>1200</v>
      </c>
      <c r="F4">
        <v>1300</v>
      </c>
      <c r="G4">
        <v>1400</v>
      </c>
      <c r="H4" t="str" cm="1">
        <f t="array" ref="H4">_xlfn.XLOOKUP(1, (Daten!$B:$B=$A4)*(Daten!$F:$F=TRUE), IF(ISBLANK(Daten!$E:$E), Daten!$D:$D, Daten!$E:$E), 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Daten</vt:lpstr>
      <vt:lpstr>2025-11-01</vt:lpstr>
      <vt:lpstr>2025-11-02</vt:lpstr>
      <vt:lpstr>2025-11-03</vt:lpstr>
      <vt:lpstr>2025-11-04</vt:lpstr>
      <vt:lpstr>2025-11-05</vt:lpstr>
      <vt:lpstr>2025-11-08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Erkan, Görkem</cp:lastModifiedBy>
  <dcterms:created xsi:type="dcterms:W3CDTF">2025-11-01T12:05:47Z</dcterms:created>
  <dcterms:modified xsi:type="dcterms:W3CDTF">2025-11-08T15:04:59Z</dcterms:modified>
</cp:coreProperties>
</file>